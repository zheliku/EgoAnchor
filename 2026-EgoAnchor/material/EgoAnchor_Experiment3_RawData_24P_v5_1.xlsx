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rification_Audit" sheetId="2" state="visible" r:id="rId2"/>
    <sheet name="Questionnaire" sheetId="3" state="visible" r:id="rId3"/>
    <sheet name="Participants" sheetId="4" state="visible" r:id="rId4"/>
    <sheet name="Records" sheetId="5" state="visible" r:id="rId5"/>
    <sheet name="Derived" sheetId="6" state="visible" r:id="rId6"/>
    <sheet name="Analysis" sheetId="7" state="visible" r:id="rId7"/>
  </sheets>
  <definedNames>
    <definedName name="_xlnm._FilterDatabase" localSheetId="5" hidden="1">'Derived'!$A$4:$Z$148</definedName>
    <definedName name="_xlnm._FilterDatabase" localSheetId="6" hidden="1">'Analysis'!$A$76:$T$82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 hh:mm"/>
    <numFmt numFmtId="165" formatCode="hh:mm:ss"/>
    <numFmt numFmtId="166" formatCode="0.000"/>
    <numFmt numFmtId="167" formatCode="0.0"/>
    <numFmt numFmtId="168" formatCode="0.0%"/>
    <numFmt numFmtId="169" formatCode="0.0000"/>
  </numFmts>
  <fonts count="21">
    <font>
      <name val="Calibri"/>
      <color theme="1"/>
      <sz val="11"/>
    </font>
    <font>
      <b val="1"/>
    </font>
    <font>
      <b val="1"/>
      <color rgb="FF22313F"/>
      <sz val="10"/>
    </font>
    <font>
      <name val="Calibri"/>
      <color rgb="FF22313F"/>
      <sz val="10"/>
    </font>
    <font>
      <b val="1"/>
      <color rgb="FFFFFFFF"/>
      <sz val="15"/>
    </font>
    <font>
      <name val="Calibri"/>
      <b val="1"/>
      <color rgb="FFFFFFFF"/>
      <sz val="15"/>
    </font>
    <font>
      <name val="Calibri"/>
      <color rgb="FF5D6B78"/>
      <sz val="10"/>
    </font>
    <font>
      <b val="1"/>
      <color rgb="FFFFFFFF"/>
      <sz val="11"/>
    </font>
    <font>
      <name val="Calibri"/>
      <b val="1"/>
      <color rgb="FFA23B3B"/>
      <sz val="10"/>
    </font>
    <font>
      <name val="Calibri"/>
      <b val="1"/>
      <color rgb="FF3F7652"/>
      <sz val="10"/>
    </font>
    <font>
      <name val="Calibri"/>
      <b val="1"/>
      <color rgb="FF8A6415"/>
      <sz val="10"/>
    </font>
    <font>
      <name val="Calibri"/>
      <b val="1"/>
      <color rgb="FF6650A4"/>
      <sz val="10"/>
    </font>
    <font>
      <name val="Calibri"/>
      <b val="1"/>
      <color rgb="FFFFFFFF"/>
      <sz val="11"/>
    </font>
    <font>
      <name val="Calibri"/>
      <b val="1"/>
      <color rgb="FF22313F"/>
      <sz val="10"/>
    </font>
    <font>
      <b val="1"/>
      <color rgb="FFFFFFFF"/>
      <sz val="10"/>
    </font>
    <font>
      <b val="1"/>
      <color rgb="FF6E5314"/>
      <sz val="10"/>
    </font>
    <font>
      <b val="1"/>
      <color rgb="00FFFFFF"/>
      <sz val="15"/>
    </font>
    <font>
      <i val="1"/>
      <color rgb="005B6570"/>
      <sz val="10"/>
    </font>
    <font>
      <b val="1"/>
      <color rgb="00FFFFFF"/>
      <sz val="11"/>
    </font>
    <font>
      <b val="1"/>
      <color rgb="0022313F"/>
      <sz val="10"/>
    </font>
    <font>
      <color rgb="0022313F"/>
      <sz val="10"/>
    </font>
  </fonts>
  <fills count="18">
    <fill>
      <patternFill/>
    </fill>
    <fill>
      <patternFill patternType="gray125"/>
    </fill>
    <fill>
      <patternFill patternType="solid">
        <fgColor rgb="FF18324A"/>
      </patternFill>
    </fill>
    <fill>
      <patternFill patternType="solid">
        <fgColor rgb="FFEAF3F8"/>
      </patternFill>
    </fill>
    <fill>
      <patternFill patternType="solid">
        <fgColor rgb="FFDCEAF5"/>
      </patternFill>
    </fill>
    <fill>
      <patternFill patternType="solid">
        <fgColor rgb="FFE8F3E8"/>
      </patternFill>
    </fill>
    <fill>
      <patternFill patternType="solid">
        <fgColor rgb="FF2F6F73"/>
      </patternFill>
    </fill>
    <fill>
      <patternFill patternType="solid">
        <fgColor rgb="FFFBE4E6"/>
      </patternFill>
    </fill>
    <fill>
      <patternFill patternType="solid">
        <fgColor rgb="FFF2F4F7"/>
      </patternFill>
    </fill>
    <fill>
      <patternFill patternType="solid">
        <fgColor rgb="FFFFF6D9"/>
      </patternFill>
    </fill>
    <fill>
      <patternFill patternType="solid">
        <fgColor rgb="FFEDE7F6"/>
      </patternFill>
    </fill>
    <fill>
      <patternFill patternType="solid">
        <fgColor rgb="FF6650A4"/>
      </patternFill>
    </fill>
    <fill>
      <patternFill patternType="solid">
        <fgColor rgb="FFFCE8D5"/>
      </patternFill>
    </fill>
    <fill>
      <patternFill patternType="solid">
        <fgColor rgb="0018324A"/>
      </patternFill>
    </fill>
    <fill>
      <patternFill patternType="solid">
        <fgColor rgb="002F6F73"/>
      </patternFill>
    </fill>
    <fill>
      <patternFill patternType="solid">
        <fgColor rgb="00DCEAF5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5">
    <border/>
    <border/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  <border>
      <left style="thin">
        <color rgb="00C8D1D9"/>
      </left>
      <right style="thin">
        <color rgb="00C8D1D9"/>
      </right>
      <top style="thin">
        <color rgb="00C8D1D9"/>
      </top>
      <bottom style="thin">
        <color rgb="00C8D1D9"/>
      </bottom>
    </border>
  </borders>
  <cellStyleXfs count="1">
    <xf numFmtId="0" fontId="0" fillId="0" borderId="1"/>
  </cellStyleXfs>
  <cellXfs count="34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4" borderId="7" applyAlignment="1" pivotButton="0" quotePrefix="0" xfId="0">
      <alignment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5" borderId="8" applyAlignment="1" pivotButton="0" quotePrefix="0" xfId="0">
      <alignment vertical="center" wrapText="1"/>
    </xf>
    <xf numFmtId="0" fontId="3" fillId="5" borderId="11" applyAlignment="1" pivotButton="0" quotePrefix="0" xfId="0">
      <alignment vertical="center" wrapText="1"/>
    </xf>
    <xf numFmtId="0" fontId="3" fillId="5" borderId="13" applyAlignment="1" pivotButton="0" quotePrefix="0" xfId="0">
      <alignment vertical="center" wrapText="1"/>
    </xf>
    <xf numFmtId="0" fontId="3" fillId="5" borderId="16" applyAlignment="1" pivotButton="0" quotePrefix="0" xfId="0">
      <alignment vertical="center" wrapText="1"/>
    </xf>
    <xf numFmtId="0" fontId="3" fillId="5" borderId="19" applyAlignment="1" pivotButton="0" quotePrefix="0" xfId="0">
      <alignment vertical="center" wrapText="1"/>
    </xf>
    <xf numFmtId="0" fontId="3" fillId="5" borderId="21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top" wrapText="1"/>
    </xf>
    <xf numFmtId="0" fontId="3" fillId="9" borderId="9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9" borderId="14" applyAlignment="1" pivotButton="0" quotePrefix="0" xfId="0">
      <alignment vertical="center" wrapText="1"/>
    </xf>
    <xf numFmtId="0" fontId="3" fillId="9" borderId="17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9" borderId="22" applyAlignment="1" pivotButton="0" quotePrefix="0" xfId="0">
      <alignment vertical="center" wrapText="1"/>
    </xf>
    <xf numFmtId="0" fontId="3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horizontal="center" vertical="center" wrapText="1"/>
    </xf>
    <xf numFmtId="0" fontId="3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horizontal="center" vertical="center" wrapText="1"/>
    </xf>
    <xf numFmtId="0" fontId="3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3" fillId="4" borderId="3" applyAlignment="1" pivotButton="0" quotePrefix="0" xfId="0">
      <alignment vertical="center" wrapText="1"/>
    </xf>
    <xf numFmtId="0" fontId="13" fillId="4" borderId="4" applyAlignment="1" pivotButton="0" quotePrefix="0" xfId="0">
      <alignment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vertical="center" wrapText="1"/>
    </xf>
    <xf numFmtId="0" fontId="3" fillId="3" borderId="9" applyAlignment="1" pivotButton="0" quotePrefix="0" xfId="0">
      <alignment vertical="center" wrapText="1"/>
    </xf>
    <xf numFmtId="0" fontId="3" fillId="3" borderId="10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16" applyAlignment="1" pivotButton="0" quotePrefix="0" xfId="0">
      <alignment vertical="center" wrapText="1"/>
    </xf>
    <xf numFmtId="0" fontId="3" fillId="3" borderId="17" applyAlignment="1" pivotButton="0" quotePrefix="0" xfId="0">
      <alignment vertical="center" wrapText="1"/>
    </xf>
    <xf numFmtId="0" fontId="3" fillId="3" borderId="18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11" applyAlignment="1" pivotButton="0" quotePrefix="0" xfId="0">
      <alignment vertical="center" wrapText="1"/>
    </xf>
    <xf numFmtId="0" fontId="3" fillId="3" borderId="12" applyAlignment="1" pivotButton="0" quotePrefix="0" xfId="0">
      <alignment vertical="center" wrapText="1"/>
    </xf>
    <xf numFmtId="0" fontId="3" fillId="3" borderId="19" applyAlignment="1" pivotButton="0" quotePrefix="0" xfId="0">
      <alignment vertical="center" wrapText="1"/>
    </xf>
    <xf numFmtId="0" fontId="3" fillId="3" borderId="20" applyAlignment="1" pivotButton="0" quotePrefix="0" xfId="0">
      <alignment vertical="center" wrapText="1"/>
    </xf>
    <xf numFmtId="0" fontId="3" fillId="7" borderId="11" applyAlignment="1" pivotButton="0" quotePrefix="0" xfId="0">
      <alignment vertical="center" wrapText="1"/>
    </xf>
    <xf numFmtId="0" fontId="3" fillId="7" borderId="12" applyAlignment="1" pivotButton="0" quotePrefix="0" xfId="0">
      <alignment vertical="center" wrapText="1"/>
    </xf>
    <xf numFmtId="0" fontId="8" fillId="7" borderId="11" applyAlignment="1" pivotButton="0" quotePrefix="0" xfId="0">
      <alignment vertical="center" wrapText="1"/>
    </xf>
    <xf numFmtId="0" fontId="8" fillId="7" borderId="12" applyAlignment="1" pivotButton="0" quotePrefix="0" xfId="0">
      <alignment vertical="center"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8" fillId="7" borderId="19" applyAlignment="1" pivotButton="0" quotePrefix="0" xfId="0">
      <alignment vertical="center" wrapText="1"/>
    </xf>
    <xf numFmtId="0" fontId="8" fillId="7" borderId="20" applyAlignment="1" pivotButton="0" quotePrefix="0" xfId="0">
      <alignment vertical="center" wrapText="1"/>
    </xf>
    <xf numFmtId="0" fontId="3" fillId="10" borderId="11" applyAlignment="1" pivotButton="0" quotePrefix="0" xfId="0">
      <alignment vertical="center" wrapText="1"/>
    </xf>
    <xf numFmtId="0" fontId="3" fillId="10" borderId="1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3" fillId="10" borderId="4" applyAlignment="1" pivotButton="0" quotePrefix="0" xfId="0">
      <alignment vertical="center" wrapText="1"/>
    </xf>
    <xf numFmtId="0" fontId="3" fillId="10" borderId="19" applyAlignment="1" pivotButton="0" quotePrefix="0" xfId="0">
      <alignment vertical="center" wrapText="1"/>
    </xf>
    <xf numFmtId="0" fontId="3" fillId="10" borderId="20" applyAlignment="1" pivotButton="0" quotePrefix="0" xfId="0">
      <alignment vertical="center" wrapText="1"/>
    </xf>
    <xf numFmtId="0" fontId="3" fillId="10" borderId="5" applyAlignment="1" pivotButton="0" quotePrefix="0" xfId="0">
      <alignment vertical="center" wrapText="1"/>
    </xf>
    <xf numFmtId="0" fontId="3" fillId="10" borderId="6" applyAlignment="1" pivotButton="0" quotePrefix="0" xfId="0">
      <alignment vertical="center" wrapText="1"/>
    </xf>
    <xf numFmtId="0" fontId="3" fillId="10" borderId="7" applyAlignment="1" pivotButton="0" quotePrefix="0" xfId="0">
      <alignment vertical="center" wrapText="1"/>
    </xf>
    <xf numFmtId="0" fontId="3" fillId="3" borderId="13" applyAlignment="1" pivotButton="0" quotePrefix="0" xfId="0">
      <alignment vertical="center" wrapText="1"/>
    </xf>
    <xf numFmtId="0" fontId="3" fillId="3" borderId="14" applyAlignment="1" pivotButton="0" quotePrefix="0" xfId="0">
      <alignment vertical="center" wrapText="1"/>
    </xf>
    <xf numFmtId="0" fontId="3" fillId="3" borderId="15" applyAlignment="1" pivotButton="0" quotePrefix="0" xfId="0">
      <alignment vertical="center" wrapText="1"/>
    </xf>
    <xf numFmtId="0" fontId="3" fillId="3" borderId="21" applyAlignment="1" pivotButton="0" quotePrefix="0" xfId="0">
      <alignment vertical="center" wrapText="1"/>
    </xf>
    <xf numFmtId="0" fontId="3" fillId="3" borderId="22" applyAlignment="1" pivotButton="0" quotePrefix="0" xfId="0">
      <alignment vertical="center" wrapText="1"/>
    </xf>
    <xf numFmtId="0" fontId="3" fillId="3" borderId="23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4" fillId="11" borderId="0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horizontal="center" vertical="center" wrapText="1"/>
    </xf>
    <xf numFmtId="0" fontId="3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horizontal="center" vertical="center" wrapText="1"/>
    </xf>
    <xf numFmtId="0" fontId="3" fillId="5" borderId="1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3" fillId="5" borderId="4" applyAlignment="1" pivotButton="0" quotePrefix="0" xfId="0">
      <alignment vertical="center" wrapText="1"/>
    </xf>
    <xf numFmtId="0" fontId="3" fillId="5" borderId="20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3" fillId="5" borderId="6" applyAlignment="1" pivotButton="0" quotePrefix="0" xfId="0">
      <alignment vertical="center" wrapText="1"/>
    </xf>
    <xf numFmtId="0" fontId="3" fillId="5" borderId="7" applyAlignment="1" pivotButton="0" quotePrefix="0" xfId="0">
      <alignment vertical="center" wrapText="1"/>
    </xf>
    <xf numFmtId="0" fontId="3" fillId="5" borderId="14" applyAlignment="1" pivotButton="0" quotePrefix="0" xfId="0">
      <alignment vertical="center" wrapText="1"/>
    </xf>
    <xf numFmtId="0" fontId="3" fillId="5" borderId="15" applyAlignment="1" pivotButton="0" quotePrefix="0" xfId="0">
      <alignment vertical="center" wrapText="1"/>
    </xf>
    <xf numFmtId="0" fontId="3" fillId="5" borderId="22" applyAlignment="1" pivotButton="0" quotePrefix="0" xfId="0">
      <alignment vertical="center" wrapText="1"/>
    </xf>
    <xf numFmtId="0" fontId="3" fillId="5" borderId="23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15" fillId="9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3" fillId="10" borderId="8" applyAlignment="1" pivotButton="0" quotePrefix="0" xfId="0">
      <alignment vertical="center" wrapText="1"/>
    </xf>
    <xf numFmtId="0" fontId="3" fillId="10" borderId="9" applyAlignment="1" pivotButton="0" quotePrefix="0" xfId="0">
      <alignment vertical="center" wrapText="1"/>
    </xf>
    <xf numFmtId="0" fontId="3" fillId="10" borderId="10" applyAlignment="1" pivotButton="0" quotePrefix="0" xfId="0">
      <alignment vertical="center" wrapText="1"/>
    </xf>
    <xf numFmtId="0" fontId="3" fillId="10" borderId="13" applyAlignment="1" pivotButton="0" quotePrefix="0" xfId="0">
      <alignment vertical="center" wrapText="1"/>
    </xf>
    <xf numFmtId="0" fontId="3" fillId="10" borderId="15" applyAlignment="1" pivotButton="0" quotePrefix="0" xfId="0">
      <alignment vertical="center" wrapText="1"/>
    </xf>
    <xf numFmtId="0" fontId="3" fillId="10" borderId="16" applyAlignment="1" pivotButton="0" quotePrefix="0" xfId="0">
      <alignment vertical="center" wrapText="1"/>
    </xf>
    <xf numFmtId="0" fontId="3" fillId="10" borderId="17" applyAlignment="1" pivotButton="0" quotePrefix="0" xfId="0">
      <alignment vertical="center" wrapText="1"/>
    </xf>
    <xf numFmtId="0" fontId="3" fillId="10" borderId="18" applyAlignment="1" pivotButton="0" quotePrefix="0" xfId="0">
      <alignment vertical="center" wrapText="1"/>
    </xf>
    <xf numFmtId="0" fontId="3" fillId="10" borderId="21" applyAlignment="1" pivotButton="0" quotePrefix="0" xfId="0">
      <alignment vertical="center" wrapText="1"/>
    </xf>
    <xf numFmtId="0" fontId="3" fillId="10" borderId="23" applyAlignment="1" pivotButton="0" quotePrefix="0" xfId="0">
      <alignment vertical="center" wrapText="1"/>
    </xf>
    <xf numFmtId="0" fontId="3" fillId="9" borderId="10" applyAlignment="1" pivotButton="0" quotePrefix="0" xfId="0">
      <alignment vertical="center" wrapText="1"/>
    </xf>
    <xf numFmtId="0" fontId="3" fillId="9" borderId="12" applyAlignment="1" pivotButton="0" quotePrefix="0" xfId="0">
      <alignment vertical="center" wrapText="1"/>
    </xf>
    <xf numFmtId="0" fontId="3" fillId="9" borderId="15" applyAlignment="1" pivotButton="0" quotePrefix="0" xfId="0">
      <alignment vertical="center" wrapText="1"/>
    </xf>
    <xf numFmtId="0" fontId="3" fillId="9" borderId="18" applyAlignment="1" pivotButton="0" quotePrefix="0" xfId="0">
      <alignment vertical="center" wrapText="1"/>
    </xf>
    <xf numFmtId="0" fontId="3" fillId="9" borderId="20" applyAlignment="1" pivotButton="0" quotePrefix="0" xfId="0">
      <alignment vertical="center" wrapText="1"/>
    </xf>
    <xf numFmtId="0" fontId="3" fillId="9" borderId="23" applyAlignment="1" pivotButton="0" quotePrefix="0" xfId="0">
      <alignment vertical="center" wrapText="1"/>
    </xf>
    <xf numFmtId="0" fontId="3" fillId="8" borderId="9" applyAlignment="1" pivotButton="0" quotePrefix="0" xfId="0">
      <alignment vertical="center" wrapText="1"/>
    </xf>
    <xf numFmtId="0" fontId="3" fillId="8" borderId="10" applyAlignment="1" pivotButton="0" quotePrefix="0" xfId="0">
      <alignment vertical="center" wrapText="1"/>
    </xf>
    <xf numFmtId="0" fontId="3" fillId="8" borderId="12" applyAlignment="1" pivotButton="0" quotePrefix="0" xfId="0">
      <alignment vertical="center" wrapText="1"/>
    </xf>
    <xf numFmtId="0" fontId="3" fillId="8" borderId="14" applyAlignment="1" pivotButton="0" quotePrefix="0" xfId="0">
      <alignment vertical="center" wrapText="1"/>
    </xf>
    <xf numFmtId="0" fontId="3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6" fillId="8" borderId="10" applyAlignment="1" pivotButton="0" quotePrefix="0" xfId="0">
      <alignment vertical="center" wrapText="1"/>
    </xf>
    <xf numFmtId="0" fontId="6" fillId="8" borderId="12" applyAlignment="1" pivotButton="0" quotePrefix="0" xfId="0">
      <alignment vertical="center" wrapText="1"/>
    </xf>
    <xf numFmtId="0" fontId="6" fillId="8" borderId="14" applyAlignment="1" pivotButton="0" quotePrefix="0" xfId="0">
      <alignment vertical="center" wrapText="1"/>
    </xf>
    <xf numFmtId="0" fontId="6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top" wrapText="1"/>
    </xf>
    <xf numFmtId="0" fontId="6" fillId="8" borderId="10" applyAlignment="1" pivotButton="0" quotePrefix="0" xfId="0">
      <alignment vertical="top" wrapText="1"/>
    </xf>
    <xf numFmtId="0" fontId="6" fillId="8" borderId="12" applyAlignment="1" pivotButton="0" quotePrefix="0" xfId="0">
      <alignment vertical="top" wrapText="1"/>
    </xf>
    <xf numFmtId="0" fontId="6" fillId="8" borderId="14" applyAlignment="1" pivotButton="0" quotePrefix="0" xfId="0">
      <alignment vertical="top" wrapText="1"/>
    </xf>
    <xf numFmtId="0" fontId="6" fillId="8" borderId="15" applyAlignment="1" pivotButton="0" quotePrefix="0" xfId="0">
      <alignment vertical="top" wrapText="1"/>
    </xf>
    <xf numFmtId="0" fontId="3" fillId="8" borderId="17" applyAlignment="1" pivotButton="0" quotePrefix="0" xfId="0">
      <alignment vertical="center" wrapText="1"/>
    </xf>
    <xf numFmtId="0" fontId="3" fillId="8" borderId="18" applyAlignment="1" pivotButton="0" quotePrefix="0" xfId="0">
      <alignment vertical="center" wrapText="1"/>
    </xf>
    <xf numFmtId="0" fontId="3" fillId="8" borderId="20" applyAlignment="1" pivotButton="0" quotePrefix="0" xfId="0">
      <alignment vertical="center" wrapText="1"/>
    </xf>
    <xf numFmtId="0" fontId="3" fillId="8" borderId="22" applyAlignment="1" pivotButton="0" quotePrefix="0" xfId="0">
      <alignment vertical="center" wrapText="1"/>
    </xf>
    <xf numFmtId="0" fontId="3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center" wrapText="1"/>
    </xf>
    <xf numFmtId="0" fontId="6" fillId="8" borderId="18" applyAlignment="1" pivotButton="0" quotePrefix="0" xfId="0">
      <alignment vertical="center" wrapText="1"/>
    </xf>
    <xf numFmtId="0" fontId="6" fillId="8" borderId="20" applyAlignment="1" pivotButton="0" quotePrefix="0" xfId="0">
      <alignment vertical="center" wrapText="1"/>
    </xf>
    <xf numFmtId="0" fontId="6" fillId="8" borderId="22" applyAlignment="1" pivotButton="0" quotePrefix="0" xfId="0">
      <alignment vertical="center" wrapText="1"/>
    </xf>
    <xf numFmtId="0" fontId="6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top" wrapText="1"/>
    </xf>
    <xf numFmtId="0" fontId="6" fillId="8" borderId="18" applyAlignment="1" pivotButton="0" quotePrefix="0" xfId="0">
      <alignment vertical="top" wrapText="1"/>
    </xf>
    <xf numFmtId="0" fontId="6" fillId="8" borderId="20" applyAlignment="1" pivotButton="0" quotePrefix="0" xfId="0">
      <alignment vertical="top" wrapText="1"/>
    </xf>
    <xf numFmtId="0" fontId="6" fillId="8" borderId="22" applyAlignment="1" pivotButton="0" quotePrefix="0" xfId="0">
      <alignment vertical="top" wrapText="1"/>
    </xf>
    <xf numFmtId="0" fontId="6" fillId="8" borderId="23" applyAlignment="1" pivotButton="0" quotePrefix="0" xfId="0">
      <alignment vertical="top" wrapText="1"/>
    </xf>
    <xf numFmtId="0" fontId="3" fillId="7" borderId="9" applyAlignment="1" pivotButton="0" quotePrefix="0" xfId="0">
      <alignment vertical="center" wrapText="1"/>
    </xf>
    <xf numFmtId="0" fontId="3" fillId="7" borderId="14" applyAlignment="1" pivotButton="0" quotePrefix="0" xfId="0">
      <alignment vertical="center" wrapText="1"/>
    </xf>
    <xf numFmtId="0" fontId="8" fillId="7" borderId="9" applyAlignment="1" pivotButton="0" quotePrefix="0" xfId="0">
      <alignment vertical="center" wrapText="1"/>
    </xf>
    <xf numFmtId="0" fontId="8" fillId="7" borderId="14" applyAlignment="1" pivotButton="0" quotePrefix="0" xfId="0">
      <alignment vertical="center" wrapText="1"/>
    </xf>
    <xf numFmtId="0" fontId="8" fillId="7" borderId="8" applyAlignment="1" pivotButton="0" quotePrefix="0" xfId="0">
      <alignment vertical="center" wrapText="1"/>
    </xf>
    <xf numFmtId="0" fontId="8" fillId="7" borderId="10" applyAlignment="1" pivotButton="0" quotePrefix="0" xfId="0">
      <alignment vertical="center" wrapText="1"/>
    </xf>
    <xf numFmtId="0" fontId="8" fillId="7" borderId="13" applyAlignment="1" pivotButton="0" quotePrefix="0" xfId="0">
      <alignment vertical="center" wrapText="1"/>
    </xf>
    <xf numFmtId="0" fontId="8" fillId="7" borderId="15" applyAlignment="1" pivotButton="0" quotePrefix="0" xfId="0">
      <alignment vertical="center" wrapText="1"/>
    </xf>
    <xf numFmtId="0" fontId="3" fillId="7" borderId="17" applyAlignment="1" pivotButton="0" quotePrefix="0" xfId="0">
      <alignment vertical="center" wrapText="1"/>
    </xf>
    <xf numFmtId="0" fontId="3" fillId="7" borderId="22" applyAlignment="1" pivotButton="0" quotePrefix="0" xfId="0">
      <alignment vertical="center" wrapText="1"/>
    </xf>
    <xf numFmtId="0" fontId="8" fillId="7" borderId="17" applyAlignment="1" pivotButton="0" quotePrefix="0" xfId="0">
      <alignment vertical="center" wrapText="1"/>
    </xf>
    <xf numFmtId="0" fontId="8" fillId="7" borderId="22" applyAlignment="1" pivotButton="0" quotePrefix="0" xfId="0">
      <alignment vertical="center" wrapText="1"/>
    </xf>
    <xf numFmtId="0" fontId="8" fillId="7" borderId="16" applyAlignment="1" pivotButton="0" quotePrefix="0" xfId="0">
      <alignment vertical="center" wrapText="1"/>
    </xf>
    <xf numFmtId="0" fontId="8" fillId="7" borderId="18" applyAlignment="1" pivotButton="0" quotePrefix="0" xfId="0">
      <alignment vertical="center" wrapText="1"/>
    </xf>
    <xf numFmtId="0" fontId="8" fillId="7" borderId="21" applyAlignment="1" pivotButton="0" quotePrefix="0" xfId="0">
      <alignment vertical="center" wrapText="1"/>
    </xf>
    <xf numFmtId="0" fontId="8" fillId="7" borderId="23" applyAlignment="1" pivotButton="0" quotePrefix="0" xfId="0">
      <alignment vertical="center" wrapText="1"/>
    </xf>
    <xf numFmtId="0" fontId="3" fillId="5" borderId="24" applyAlignment="1" pivotButton="0" quotePrefix="0" xfId="0">
      <alignment vertical="center" wrapText="1"/>
    </xf>
    <xf numFmtId="0" fontId="3" fillId="5" borderId="25" applyAlignment="1" pivotButton="0" quotePrefix="0" xfId="0">
      <alignment vertical="center" wrapText="1"/>
    </xf>
    <xf numFmtId="0" fontId="8" fillId="7" borderId="24" applyAlignment="1" pivotButton="0" quotePrefix="0" xfId="0">
      <alignment vertical="center" wrapText="1"/>
    </xf>
    <xf numFmtId="0" fontId="8" fillId="7" borderId="26" applyAlignment="1" pivotButton="0" quotePrefix="0" xfId="0">
      <alignment vertical="center" wrapText="1"/>
    </xf>
    <xf numFmtId="0" fontId="3" fillId="9" borderId="25" applyAlignment="1" pivotButton="0" quotePrefix="0" xfId="0">
      <alignment vertical="center" wrapText="1"/>
    </xf>
    <xf numFmtId="0" fontId="3" fillId="5" borderId="27" applyAlignment="1" pivotButton="0" quotePrefix="0" xfId="0">
      <alignment vertical="center" wrapText="1"/>
    </xf>
    <xf numFmtId="0" fontId="3" fillId="5" borderId="28" applyAlignment="1" pivotButton="0" quotePrefix="0" xfId="0">
      <alignment vertical="center" wrapText="1"/>
    </xf>
    <xf numFmtId="0" fontId="8" fillId="7" borderId="27" applyAlignment="1" pivotButton="0" quotePrefix="0" xfId="0">
      <alignment vertical="center" wrapText="1"/>
    </xf>
    <xf numFmtId="0" fontId="8" fillId="7" borderId="29" applyAlignment="1" pivotButton="0" quotePrefix="0" xfId="0">
      <alignment vertical="center" wrapText="1"/>
    </xf>
    <xf numFmtId="0" fontId="3" fillId="9" borderId="28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4" fontId="3" fillId="9" borderId="17" applyAlignment="1" pivotButton="0" quotePrefix="0" xfId="0">
      <alignment vertical="center" wrapText="1"/>
    </xf>
    <xf numFmtId="164" fontId="3" fillId="9" borderId="1" applyAlignment="1" pivotButton="0" quotePrefix="0" xfId="0">
      <alignment vertical="center" wrapText="1"/>
    </xf>
    <xf numFmtId="164" fontId="3" fillId="9" borderId="28" applyAlignment="1" pivotButton="0" quotePrefix="0" xfId="0">
      <alignment vertical="center" wrapText="1"/>
    </xf>
    <xf numFmtId="0" fontId="8" fillId="7" borderId="25" applyAlignment="1" pivotButton="0" quotePrefix="0" xfId="0">
      <alignment vertical="center" wrapText="1"/>
    </xf>
    <xf numFmtId="0" fontId="3" fillId="8" borderId="25" applyAlignment="1" pivotButton="0" quotePrefix="0" xfId="0">
      <alignment vertical="center" wrapText="1"/>
    </xf>
    <xf numFmtId="0" fontId="8" fillId="7" borderId="28" applyAlignment="1" pivotButton="0" quotePrefix="0" xfId="0">
      <alignment vertical="center" wrapText="1"/>
    </xf>
    <xf numFmtId="0" fontId="3" fillId="8" borderId="28" applyAlignment="1" pivotButton="0" quotePrefix="0" xfId="0">
      <alignment vertical="center" wrapText="1"/>
    </xf>
    <xf numFmtId="0" fontId="3" fillId="5" borderId="30" applyAlignment="1" pivotButton="0" quotePrefix="0" xfId="0">
      <alignment vertical="center" wrapText="1"/>
    </xf>
    <xf numFmtId="0" fontId="3" fillId="5" borderId="31" applyAlignment="1" pivotButton="0" quotePrefix="0" xfId="0">
      <alignment vertical="center" wrapText="1"/>
    </xf>
    <xf numFmtId="0" fontId="3" fillId="9" borderId="31" applyAlignment="1" pivotButton="0" quotePrefix="0" xfId="0">
      <alignment vertical="center" wrapText="1"/>
    </xf>
    <xf numFmtId="0" fontId="8" fillId="7" borderId="31" applyAlignment="1" pivotButton="0" quotePrefix="0" xfId="0">
      <alignment vertical="center" wrapText="1"/>
    </xf>
    <xf numFmtId="0" fontId="3" fillId="5" borderId="32" applyAlignment="1" pivotButton="0" quotePrefix="0" xfId="0">
      <alignment vertical="center" wrapText="1"/>
    </xf>
    <xf numFmtId="0" fontId="3" fillId="5" borderId="33" applyAlignment="1" pivotButton="0" quotePrefix="0" xfId="0">
      <alignment vertical="center" wrapText="1"/>
    </xf>
    <xf numFmtId="0" fontId="3" fillId="9" borderId="33" applyAlignment="1" pivotButton="0" quotePrefix="0" xfId="0">
      <alignment vertical="center" wrapText="1"/>
    </xf>
    <xf numFmtId="0" fontId="8" fillId="7" borderId="33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17" applyAlignment="1" pivotButton="0" quotePrefix="0" xfId="0">
      <alignment vertical="center" wrapText="1"/>
    </xf>
    <xf numFmtId="165" fontId="3" fillId="9" borderId="1" applyAlignment="1" pivotButton="0" quotePrefix="0" xfId="0">
      <alignment vertical="center" wrapText="1"/>
    </xf>
    <xf numFmtId="165" fontId="3" fillId="9" borderId="28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  <xf numFmtId="165" fontId="3" fillId="9" borderId="33" applyAlignment="1" pivotButton="0" quotePrefix="0" xfId="0">
      <alignment vertical="center" wrapText="1"/>
    </xf>
    <xf numFmtId="0" fontId="13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vertical="center" wrapText="1"/>
    </xf>
    <xf numFmtId="0" fontId="13" fillId="4" borderId="5" applyAlignment="1" pivotButton="0" quotePrefix="0" xfId="0">
      <alignment horizontal="center" vertical="center" wrapText="1"/>
    </xf>
    <xf numFmtId="0" fontId="3" fillId="12" borderId="0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2" applyAlignment="1" pivotButton="0" quotePrefix="0" xfId="0">
      <alignment vertical="center" wrapText="1"/>
    </xf>
    <xf numFmtId="0" fontId="3" fillId="12" borderId="14" applyAlignment="1" pivotButton="0" quotePrefix="0" xfId="0">
      <alignment vertical="center" wrapText="1"/>
    </xf>
    <xf numFmtId="0" fontId="3" fillId="12" borderId="15" applyAlignment="1" pivotButton="0" quotePrefix="0" xfId="0">
      <alignment vertical="center" wrapText="1"/>
    </xf>
    <xf numFmtId="0" fontId="3" fillId="12" borderId="20" applyAlignment="1" pivotButton="0" quotePrefix="0" xfId="0">
      <alignment vertical="center" wrapText="1"/>
    </xf>
    <xf numFmtId="0" fontId="3" fillId="12" borderId="22" applyAlignment="1" pivotButton="0" quotePrefix="0" xfId="0">
      <alignment vertical="center" wrapText="1"/>
    </xf>
    <xf numFmtId="0" fontId="3" fillId="12" borderId="23" applyAlignment="1" pivotButton="0" quotePrefix="0" xfId="0">
      <alignment vertical="center" wrapText="1"/>
    </xf>
    <xf numFmtId="0" fontId="3" fillId="12" borderId="11" applyAlignment="1" pivotButton="0" quotePrefix="0" xfId="0">
      <alignment vertical="center" wrapText="1"/>
    </xf>
    <xf numFmtId="0" fontId="3" fillId="12" borderId="13" applyAlignment="1" pivotButton="0" quotePrefix="0" xfId="0">
      <alignment vertical="center" wrapText="1"/>
    </xf>
    <xf numFmtId="0" fontId="3" fillId="12" borderId="19" applyAlignment="1" pivotButton="0" quotePrefix="0" xfId="0">
      <alignment vertical="center" wrapText="1"/>
    </xf>
    <xf numFmtId="0" fontId="3" fillId="12" borderId="21" applyAlignment="1" pivotButton="0" quotePrefix="0" xfId="0">
      <alignment vertical="center" wrapText="1"/>
    </xf>
    <xf numFmtId="0" fontId="2" fillId="5" borderId="11" applyAlignment="1" pivotButton="0" quotePrefix="0" xfId="0">
      <alignment vertical="center" wrapText="1"/>
    </xf>
    <xf numFmtId="0" fontId="2" fillId="12" borderId="12" applyAlignment="1" pivotButton="0" quotePrefix="0" xfId="0">
      <alignment vertical="center" wrapText="1"/>
    </xf>
    <xf numFmtId="0" fontId="2" fillId="5" borderId="19" applyAlignment="1" pivotButton="0" quotePrefix="0" xfId="0">
      <alignment vertical="center" wrapText="1"/>
    </xf>
    <xf numFmtId="0" fontId="2" fillId="12" borderId="2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  <xf numFmtId="0" fontId="16" fillId="13" borderId="1" applyAlignment="1" pivotButton="0" quotePrefix="0" xfId="0">
      <alignment vertical="center"/>
    </xf>
    <xf numFmtId="0" fontId="17" fillId="0" borderId="1" applyAlignment="1" pivotButton="0" quotePrefix="0" xfId="0">
      <alignment vertical="center" wrapText="1"/>
    </xf>
    <xf numFmtId="0" fontId="18" fillId="14" borderId="1" applyAlignment="1" pivotButton="0" quotePrefix="0" xfId="0">
      <alignment vertical="center"/>
    </xf>
    <xf numFmtId="0" fontId="19" fillId="15" borderId="34" applyAlignment="1" pivotButton="0" quotePrefix="0" xfId="0">
      <alignment horizontal="center" vertical="center" wrapText="1"/>
    </xf>
    <xf numFmtId="0" fontId="20" fillId="16" borderId="34" applyAlignment="1" pivotButton="0" quotePrefix="0" xfId="0">
      <alignment vertical="center"/>
    </xf>
    <xf numFmtId="166" fontId="20" fillId="16" borderId="34" applyAlignment="1" pivotButton="0" quotePrefix="0" xfId="0">
      <alignment vertical="center"/>
    </xf>
    <xf numFmtId="0" fontId="20" fillId="17" borderId="34" applyAlignment="1" pivotButton="0" quotePrefix="0" xfId="0">
      <alignment vertical="center" wrapText="1"/>
    </xf>
    <xf numFmtId="1" fontId="20" fillId="16" borderId="34" applyAlignment="1" pivotButton="0" quotePrefix="0" xfId="0">
      <alignment vertical="center"/>
    </xf>
    <xf numFmtId="167" fontId="20" fillId="16" borderId="34" applyAlignment="1" pivotButton="0" quotePrefix="0" xfId="0">
      <alignment vertical="center"/>
    </xf>
    <xf numFmtId="1" fontId="20" fillId="17" borderId="34" applyAlignment="1" pivotButton="0" quotePrefix="0" xfId="0">
      <alignment vertical="center" wrapText="1"/>
    </xf>
    <xf numFmtId="168" fontId="20" fillId="16" borderId="34" applyAlignment="1" pivotButton="0" quotePrefix="0" xfId="0">
      <alignment vertical="center"/>
    </xf>
    <xf numFmtId="169" fontId="20" fillId="17" borderId="34" applyAlignment="1" pivotButton="0" quotePrefix="0" xfId="0">
      <alignment vertical="center" wrapText="1"/>
    </xf>
  </cellXfs>
  <cellStyles count="1">
    <cellStyle name="Normal" xfId="0"/>
  </cellStyles>
  <dxfs count="5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ill>
        <patternFill patternType="solid">
          <fgColor rgb="00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54" customWidth="1" min="4" max="4"/>
    <col width="34" customWidth="1" min="5" max="5"/>
  </cols>
  <sheetData>
    <row r="1" ht="30" customHeight="1">
      <c r="A1" s="26" t="inlineStr">
        <is>
          <t>EgoAnchor 实验三正式原始数据工作簿（v5.1）</t>
        </is>
      </c>
      <c r="B1" s="3" t="n"/>
      <c r="C1" s="3" t="n"/>
      <c r="D1" s="3" t="n"/>
      <c r="E1" s="3" t="n"/>
    </row>
    <row r="2" ht="74" customHeight="1">
      <c r="A2" s="33" t="inlineStr">
        <is>
          <t>唯一权威规格：2026-EgoAnchor/experiment_3_questionnaire_design_zh.md（v5.1）。Participants 与 Records 是唯一人工输入；Derived 是只读公式派生层，Analysis 是现场描述性仪表板。Python 分析另行写出结果工作簿，不会回填本文件的黄色区域。TiA 反向计分仅在派生层执行。</t>
        </is>
      </c>
      <c r="B2" s="3" t="n"/>
      <c r="C2" s="3" t="n"/>
      <c r="D2" s="3" t="n"/>
      <c r="E2" s="3" t="n"/>
    </row>
    <row r="3">
      <c r="A3" s="12" t="n"/>
      <c r="B3" s="12" t="n"/>
      <c r="C3" s="12" t="n"/>
      <c r="D3" s="12" t="n"/>
      <c r="E3" s="12" t="n"/>
    </row>
    <row r="4" ht="30" customHeight="1">
      <c r="A4" s="38" t="inlineStr">
        <is>
          <t>使用流程</t>
        </is>
      </c>
      <c r="B4" s="39" t="inlineStr">
        <is>
          <t>时点</t>
        </is>
      </c>
      <c r="C4" s="39" t="inlineStr">
        <is>
          <t>填写位置</t>
        </is>
      </c>
      <c r="D4" s="39" t="inlineStr">
        <is>
          <t>内容</t>
        </is>
      </c>
      <c r="E4" s="40" t="inlineStr">
        <is>
          <t>关键规则</t>
        </is>
      </c>
    </row>
    <row r="5">
      <c r="A5" s="64" t="inlineStr">
        <is>
          <t>0 背景</t>
        </is>
      </c>
      <c r="B5" s="49" t="inlineStr">
        <is>
          <t>到场、知情同意后</t>
        </is>
      </c>
      <c r="C5" s="49" t="inlineStr">
        <is>
          <t>Participants</t>
        </is>
      </c>
      <c r="D5" s="49" t="inlineStr">
        <is>
          <t>B1–B6 背景字段、纳入状态、起止时间</t>
        </is>
      </c>
      <c r="E5" s="50" t="inlineStr">
        <is>
          <t>方法映射列仅实验员可见</t>
        </is>
      </c>
    </row>
    <row r="6">
      <c r="A6" s="65" t="inlineStr">
        <is>
          <t>1 区块</t>
        </is>
      </c>
      <c r="B6" s="12" t="inlineStr">
        <is>
          <t>每个方法×物体区块三项任务完成后</t>
        </is>
      </c>
      <c r="C6" s="12" t="inlineStr">
        <is>
          <t>Records A 段</t>
        </is>
      </c>
      <c r="D6" s="12" t="inlineStr">
        <is>
          <t>13 项统一七点同意度（Q10 默认停用）</t>
        </is>
      </c>
      <c r="E6" s="52" t="inlineStr">
        <is>
          <t>任务后统一评分，不逐任务打断</t>
        </is>
      </c>
    </row>
    <row r="7">
      <c r="A7" s="65" t="inlineStr">
        <is>
          <t>2 方法级</t>
        </is>
      </c>
      <c r="B7" s="12" t="inlineStr">
        <is>
          <t>全部 6 区块完成后</t>
        </is>
      </c>
      <c r="C7" s="12" t="inlineStr">
        <is>
          <t>Records B 段</t>
        </is>
      </c>
      <c r="D7" s="12" t="inlineStr">
        <is>
          <t>按平衡顺序（S1 先 A、S2 先 B）分别评价两方法：TiA 10 + 提示页 + S-TIAS 3</t>
        </is>
      </c>
      <c r="E7" s="52" t="inlineStr">
        <is>
          <t>不得插入第 5/6 区块之间</t>
        </is>
      </c>
    </row>
    <row r="8">
      <c r="A8" s="65" t="inlineStr">
        <is>
          <t>3 最终</t>
        </is>
      </c>
      <c r="B8" s="12" t="inlineStr">
        <is>
          <t>摘下头显后</t>
        </is>
      </c>
      <c r="C8" s="12" t="inlineStr">
        <is>
          <t>Records C 段</t>
        </is>
      </c>
      <c r="D8" s="12" t="inlineStr">
        <is>
          <t>2 强制选择 + 偏好强度 + 区分信心 + 2 开放题 + 安全检查</t>
        </is>
      </c>
      <c r="E8" s="52" t="inlineStr">
        <is>
          <t>回答完成前保持匿名</t>
        </is>
      </c>
    </row>
    <row r="9">
      <c r="A9" s="65" t="inlineStr">
        <is>
          <t>4 审计</t>
        </is>
      </c>
      <c r="B9" s="12" t="inlineStr">
        <is>
          <t>每区块同步</t>
        </is>
      </c>
      <c r="C9" s="12" t="inlineStr">
        <is>
          <t>Records A 段（审计列）</t>
        </is>
      </c>
      <c r="D9" s="12" t="inlineStr">
        <is>
          <t>候选/VCD/接纳/生命周期/重获取/时长</t>
        </is>
      </c>
      <c r="E9" s="52" t="inlineStr">
        <is>
          <t>只作操纵检验，不是配准误差</t>
        </is>
      </c>
    </row>
    <row r="10">
      <c r="A10" s="66" t="inlineStr">
        <is>
          <t>5 现场核对</t>
        </is>
      </c>
      <c r="B10" s="54" t="inlineStr">
        <is>
          <t>采集完成后</t>
        </is>
      </c>
      <c r="C10" s="54" t="inlineStr">
        <is>
          <t>Analysis</t>
        </is>
      </c>
      <c r="D10" s="54" t="inlineStr">
        <is>
          <t>Derived/Analysis 公式实时显示完整性、参与者概况和可计算描述量</t>
        </is>
      </c>
      <c r="E10" s="55" t="inlineStr">
        <is>
          <t>正式推断由 pixi run eval analyze exp3 另写结果 XLSX</t>
        </is>
      </c>
    </row>
    <row r="11">
      <c r="A11" s="12" t="n"/>
      <c r="B11" s="12" t="n"/>
      <c r="C11" s="12" t="n"/>
      <c r="D11" s="12" t="n"/>
      <c r="E11" s="12" t="n"/>
    </row>
    <row r="12" ht="25" customHeight="1">
      <c r="A12" s="73" t="inlineStr">
        <is>
          <t>冻结分析家族</t>
        </is>
      </c>
      <c r="B12" s="3" t="n"/>
      <c r="C12" s="3" t="n"/>
      <c r="D12" s="3" t="n"/>
      <c r="E12" s="3" t="n"/>
    </row>
    <row r="13">
      <c r="A13" s="64" t="inlineStr">
        <is>
          <t>主证实家族（7）</t>
        </is>
      </c>
      <c r="B13" s="49" t="inlineStr">
        <is>
          <t>Q1/Q8/Q2/Q9/Q3/Q6/Q7</t>
        </is>
      </c>
      <c r="C13" s="50" t="inlineStr">
        <is>
          <t>三物体取均值 → 配对 Wilcoxon → 家族内 Holm（MDE dz=0.801）</t>
        </is>
      </c>
      <c r="D13" s="12" t="n"/>
      <c r="E13" s="12" t="n"/>
    </row>
    <row r="14">
      <c r="A14" s="65" t="inlineStr">
        <is>
          <t>已发表量表家族（5）</t>
        </is>
      </c>
      <c r="B14" s="12" t="inlineStr">
        <is>
          <t>AQ-EQ / AQ-IQ / TiA-R/C / TiA-U/P / S-TIAS</t>
        </is>
      </c>
      <c r="C14" s="52" t="inlineStr">
        <is>
          <t>同上；仅此家族报告当前样本 α/ω；TiA 反向项先换向</t>
        </is>
      </c>
      <c r="D14" s="12" t="n"/>
      <c r="E14" s="12" t="n"/>
    </row>
    <row r="15">
      <c r="A15" s="65" t="inlineStr">
        <is>
          <t>次级</t>
        </is>
      </c>
      <c r="B15" s="12" t="inlineStr">
        <is>
          <t>Q10（若预实验启用）；CLMM（方法×物体+区块位置+对象内先后+随机截距）</t>
        </is>
      </c>
      <c r="C15" s="52" t="inlineStr">
        <is>
          <t>独立分析 / 稳健性</t>
        </is>
      </c>
      <c r="D15" s="12" t="n"/>
      <c r="E15" s="12" t="n"/>
    </row>
    <row r="16">
      <c r="A16" s="66" t="inlineStr">
        <is>
          <t>描述性</t>
        </is>
      </c>
      <c r="B16" s="54" t="inlineStr">
        <is>
          <t>两项强制选择、偏好强度、区分信心、开放题主题、安全检查、运行时审计</t>
        </is>
      </c>
      <c r="C16" s="55" t="inlineStr">
        <is>
          <t>不作推断</t>
        </is>
      </c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 ht="25" customHeight="1">
      <c r="A18" s="73" t="inlineStr">
        <is>
          <t>采集前仍未完成的前置（未完成不得正式采集）</t>
        </is>
      </c>
      <c r="B18" s="3" t="n"/>
      <c r="C18" s="3" t="n"/>
      <c r="D18" s="3" t="n"/>
      <c r="E18" s="3" t="n"/>
    </row>
    <row r="19" ht="64" customHeight="1">
      <c r="A19" s="77" t="inlineStr">
        <is>
          <t>中文施测措辞已于 2026-07-26 冻结为 v5.1 Final wording。正式采集前完成确认性认知访谈；只有发现理解不良时，才按修订、重测、再冻结的顺序处理。</t>
        </is>
      </c>
    </row>
    <row r="20" ht="64" customHeight="1">
      <c r="A20" s="77" t="inlineStr">
        <is>
          <t>预实验冻结项：遮挡时长（0.6–0.9 s 内取定，避开 0.45/1.0 s 边界）、Q10 是否启用、AQ 缩减规则是否触发（单区块 &gt;150 s 或连续同分 ≥5 项 → 停用 AQ_EQ3/AQ_IQ1）、方法级问卷模态。</t>
        </is>
      </c>
      <c r="B20" s="3" t="n"/>
      <c r="C20" s="3" t="n"/>
      <c r="D20" s="3" t="n"/>
      <c r="E20" s="3" t="n"/>
    </row>
    <row r="21">
      <c r="A21" s="12" t="n"/>
      <c r="B21" s="12" t="n"/>
      <c r="C21" s="12" t="n"/>
      <c r="D21" s="12" t="n"/>
      <c r="E21" s="12" t="n"/>
    </row>
    <row r="22" ht="25" customHeight="1">
      <c r="A22" s="73" t="inlineStr">
        <is>
          <t>程序日志字段建议（Unity 端长格式事件日志；本表 Records 为实验员宽表）</t>
        </is>
      </c>
      <c r="B22" s="3" t="n"/>
      <c r="C22" s="3" t="n"/>
      <c r="D22" s="3" t="n"/>
      <c r="E22" s="3" t="n"/>
    </row>
    <row r="23" ht="76" customHeight="1">
      <c r="A23" s="83" t="inlineStr">
        <is>
      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      </is>
      </c>
      <c r="B23" s="3" t="n"/>
      <c r="C23" s="3" t="n"/>
      <c r="D23" s="3" t="n"/>
      <c r="E23" s="3" t="n"/>
    </row>
    <row r="24">
      <c r="A24" s="12" t="n"/>
      <c r="B24" s="12" t="n"/>
      <c r="C24" s="12" t="n"/>
      <c r="D24" s="12" t="n"/>
      <c r="E24" s="12" t="n"/>
    </row>
    <row r="25" ht="48" customHeight="1">
      <c r="A25" s="77" t="inlineStr">
        <is>
          <t>提前止收规则：招募未满 24 人时按 Participants 编号顺序优先补齐整组 4 人（同一物体排列的四个单元），N 下限 18。</t>
        </is>
      </c>
      <c r="B25" s="3" t="n"/>
      <c r="C25" s="3" t="n"/>
      <c r="D25" s="3" t="n"/>
      <c r="E25" s="3" t="n"/>
    </row>
    <row r="26"/>
    <row r="27">
      <c r="A27" s="64" t="inlineStr">
        <is>
          <t>工作簿契约</t>
        </is>
      </c>
      <c r="B27" s="49" t="inlineStr">
        <is>
          <t>EgoAnchor.Experiment3.RawData.v5.1</t>
        </is>
      </c>
    </row>
    <row r="28">
      <c r="A28" s="64" t="inlineStr">
        <is>
          <t>数据类别</t>
        </is>
      </c>
      <c r="B28" s="49" t="inlineStr">
        <is>
          <t>formal-participant-data</t>
        </is>
      </c>
    </row>
  </sheetData>
  <mergeCells count="8">
    <mergeCell ref="A12:E12"/>
    <mergeCell ref="A20:E20"/>
    <mergeCell ref="A2:E2"/>
    <mergeCell ref="A25:E25"/>
    <mergeCell ref="A1:E1"/>
    <mergeCell ref="A23:E23"/>
    <mergeCell ref="A22:E22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84" customWidth="1" min="3" max="3"/>
    <col width="48" customWidth="1" min="4" max="4"/>
  </cols>
  <sheetData>
    <row r="1" ht="30" customHeight="1">
      <c r="A1" s="26" t="inlineStr">
        <is>
          <t>内容核验记录（v5.1；正式采集前审计）</t>
        </is>
      </c>
      <c r="B1" s="3" t="n"/>
      <c r="C1" s="3" t="n"/>
      <c r="D1" s="3" t="n"/>
    </row>
    <row r="2" ht="54" customHeight="1">
      <c r="A2" s="33" t="inlineStr">
        <is>
          <t>官方原文、对象化改编和当前样本信度必须分开表述；正式采集前剩余前置为确认性认知访谈与预留参数冻结。</t>
        </is>
      </c>
      <c r="B2" s="3" t="n"/>
      <c r="C2" s="3" t="n"/>
      <c r="D2" s="3" t="n"/>
    </row>
    <row r="3">
      <c r="A3" s="12" t="n"/>
      <c r="B3" s="12" t="n"/>
      <c r="C3" s="12" t="n"/>
      <c r="D3" s="12" t="n"/>
    </row>
    <row r="4" ht="30" customHeight="1">
      <c r="A4" s="38" t="inlineStr">
        <is>
          <t>核对对象</t>
        </is>
      </c>
      <c r="B4" s="39" t="inlineStr">
        <is>
          <t>状态</t>
        </is>
      </c>
      <c r="C4" s="39" t="inlineStr">
        <is>
          <t>结论/修正</t>
        </is>
      </c>
      <c r="D4" s="40" t="inlineStr">
        <is>
          <t>依据/来源</t>
        </is>
      </c>
    </row>
    <row r="5" ht="48" customHeight="1">
      <c r="A5" s="64" t="inlineStr">
        <is>
          <t>AQ 英文条目</t>
        </is>
      </c>
      <c r="B5" s="92" t="inlineStr">
        <is>
          <t>已核对</t>
        </is>
      </c>
      <c r="C5" s="49" t="inlineStr">
        <is>
          <t>原计划英文系语义转述；已替换为附录官方原文（指代为 The virtual object，对象化替换极小）</t>
        </is>
      </c>
      <c r="D5" s="50" t="inlineStr">
        <is>
          <t>doi:10.1007/s11747-025-01108-2 Appendix</t>
        </is>
      </c>
    </row>
    <row r="6" ht="48" customHeight="1">
      <c r="A6" s="65" t="inlineStr">
        <is>
          <t>AQ 量尺</t>
        </is>
      </c>
      <c r="B6" s="98" t="inlineStr">
        <is>
          <t>已核对</t>
        </is>
      </c>
      <c r="C6" s="12" t="inlineStr">
        <is>
          <t>七点：1 = I do not agree … 7 = I fully agree；中文“完全不同意–完全同意”正确</t>
        </is>
      </c>
      <c r="D6" s="52" t="inlineStr">
        <is>
          <t>同上</t>
        </is>
      </c>
    </row>
    <row r="7" ht="48" customHeight="1">
      <c r="A7" s="65" t="inlineStr">
        <is>
          <t>AQ 书目</t>
        </is>
      </c>
      <c r="B7" s="98" t="inlineStr">
        <is>
          <t>已核对</t>
        </is>
      </c>
      <c r="C7" s="12" t="inlineStr">
        <is>
          <t>Schein, K. E.; Rauschnabel, P. A.; Praxmarer-Carus, S.; Babin, B. J. Unpacking augmentation quality and local presence: Factors that drive effective augmented reality marketing. JAMS 54:49–69（2025 在线）</t>
        </is>
      </c>
      <c r="D7" s="52" t="inlineStr">
        <is>
          <t>CC BY 4.0</t>
        </is>
      </c>
    </row>
    <row r="8" ht="48" customHeight="1">
      <c r="A8" s="65" t="inlineStr">
        <is>
          <t>TiA 条目结构</t>
        </is>
      </c>
      <c r="B8" s="98" t="inlineStr">
        <is>
          <t>已核对</t>
        </is>
      </c>
      <c r="C8" s="12" t="inlineStr">
        <is>
          <t>R/C 6 项（官方条目 1,6,10,13,15,19）+ U/P 4 项（2,7,11,16）；6+4 正确、语料 7+3 系误标</t>
        </is>
      </c>
      <c r="D8" s="52" t="inlineStr">
        <is>
          <t>官方 GitHub（CC BY-SA 4.0）</t>
        </is>
      </c>
    </row>
    <row r="9" ht="48" customHeight="1">
      <c r="A9" s="65" t="inlineStr">
        <is>
          <t>TiA 反向计分</t>
        </is>
      </c>
      <c r="B9" s="98" t="inlineStr">
        <is>
          <t>已核对</t>
        </is>
      </c>
      <c r="C9" s="12" t="inlineStr">
        <is>
          <t>反向项 RC3/RC5/UP2/UP4（官方条目 10,15,7,16）；五点反向分 = 6 − 原始分</t>
        </is>
      </c>
      <c r="D9" s="52" t="inlineStr">
        <is>
          <t>同上</t>
        </is>
      </c>
    </row>
    <row r="10" ht="48" customHeight="1">
      <c r="A10" s="65" t="inlineStr">
        <is>
          <t>TiA 量尺</t>
        </is>
      </c>
      <c r="B10" s="98" t="inlineStr">
        <is>
          <t>已核对</t>
        </is>
      </c>
      <c r="C10" s="12" t="inlineStr">
        <is>
          <t>五点同意度 + 允许 No response（记缺失）</t>
        </is>
      </c>
      <c r="D10" s="52" t="inlineStr">
        <is>
          <t>同上</t>
        </is>
      </c>
    </row>
    <row r="11" ht="48" customHeight="1">
      <c r="A11" s="65" t="inlineStr">
        <is>
          <t>TiA 效度措辞</t>
        </is>
      </c>
      <c r="B11" s="103" t="inlineStr">
        <is>
          <t>需遵守</t>
        </is>
      </c>
      <c r="C11" s="12" t="inlineStr">
        <is>
          <t>英文版仍需进一步验证（德文原版才有初步心理计量证据）；论文只写 adapted TiA subscales + 当前样本信度，不得写“已验证英文/中文量表”</t>
        </is>
      </c>
      <c r="D11" s="52" t="inlineStr">
        <is>
          <t>官方 GitHub 声明</t>
        </is>
      </c>
    </row>
    <row r="12" ht="48" customHeight="1">
      <c r="A12" s="65" t="inlineStr">
        <is>
          <t>S-TIAS 条目</t>
        </is>
      </c>
      <c r="B12" s="98" t="inlineStr">
        <is>
          <t>已核对</t>
        </is>
      </c>
      <c r="C12" s="12" t="inlineStr">
        <is>
          <t>三项原文指代 the AI assistant；本研究替换为“这种对象锚定方法”→ adapted S-TIAS</t>
        </is>
      </c>
      <c r="D12" s="52" t="inlineStr">
        <is>
          <t>doi:10.3389/frai.2025.1582880</t>
        </is>
      </c>
    </row>
    <row r="13" ht="48" customHeight="1">
      <c r="A13" s="65" t="inlineStr">
        <is>
          <t>S-TIAS 量尺</t>
        </is>
      </c>
      <c r="B13" s="98" t="inlineStr">
        <is>
          <t>已核对</t>
        </is>
      </c>
      <c r="C13" s="12" t="inlineStr">
        <is>
          <t>1 = Not at all … 7 = Extremely；三项均值</t>
        </is>
      </c>
      <c r="D13" s="52" t="inlineStr">
        <is>
          <t>同上</t>
        </is>
      </c>
    </row>
    <row r="14" ht="48" customHeight="1">
      <c r="A14" s="65" t="inlineStr">
        <is>
          <t>S-TIAS 书目</t>
        </is>
      </c>
      <c r="B14" s="85" t="inlineStr">
        <is>
          <t>已核对（作者更正）</t>
        </is>
      </c>
      <c r="C14" s="12" t="inlineStr">
        <is>
          <t>McGrath, M. J.; Lack, O.; Tisch, J.; Duenser, A. Measuring trust in artificial intelligence: validation of an established scale and its short form. Frontiers in AI 8:1582880。语料曾误标为 Karpus；bib 键 mcgrath2025stias</t>
        </is>
      </c>
      <c r="D14" s="52" t="inlineStr">
        <is>
          <t>CC BY</t>
        </is>
      </c>
    </row>
    <row r="15" ht="48" customHeight="1">
      <c r="A15" s="65" t="inlineStr">
        <is>
          <t>Gottsacker 2024 书目</t>
        </is>
      </c>
      <c r="B15" s="98" t="inlineStr">
        <is>
          <t>已核对</t>
        </is>
      </c>
      <c r="C15" s="12" t="inlineStr">
        <is>
      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      </is>
      </c>
      <c r="D15" s="52" t="inlineStr">
        <is>
          <t>doi:10.1016/j.cag.2024.104035</t>
        </is>
      </c>
    </row>
    <row r="16" ht="48" customHeight="1">
      <c r="A16" s="65" t="inlineStr">
        <is>
          <t>Gottsacker 2024 表述边界</t>
        </is>
      </c>
      <c r="B16" s="103" t="inlineStr">
        <is>
          <t>需遵守</t>
        </is>
      </c>
      <c r="C16" s="12" t="inlineStr">
        <is>
          <t>该研究只测试 0°/+1°/+2° 偏移与 0°/≤1°/≤2° 抖动；论文写“在测试的误差水平内每升高一级伴随信任下降”，不得外推为任意每度线性下降的连续定律</t>
        </is>
      </c>
      <c r="D16" s="52" t="inlineStr">
        <is>
          <t>同上</t>
        </is>
      </c>
    </row>
    <row r="17" ht="48" customHeight="1">
      <c r="A17" s="65" t="inlineStr">
        <is>
          <t>方法级施测时点</t>
        </is>
      </c>
      <c r="B17" s="108" t="inlineStr">
        <is>
          <t>设计修正</t>
        </is>
      </c>
      <c r="C17" s="12" t="inlineStr">
        <is>
          <t>不在第 5/6 区块之间插入先完成方法的问卷（打断第三物体紧配对、提前启动信任判断框架、位置不对称）；改为全部六区块后按 S1 先 A / S2 先 B 平衡施测</t>
        </is>
      </c>
      <c r="D17" s="52" t="inlineStr">
        <is>
          <t>设计审查（计划书〇节）</t>
        </is>
      </c>
    </row>
    <row r="18" ht="48" customHeight="1">
      <c r="A18" s="65" t="inlineStr">
        <is>
          <t>Q2 措辞</t>
        </is>
      </c>
      <c r="B18" s="108" t="inlineStr">
        <is>
          <t>本表已更新</t>
        </is>
      </c>
      <c r="C18" s="12" t="inlineStr">
        <is>
          <t>Q2 已按 v5.1 冻结为“始终附着在真实物体上的同一位置”，用于与 AQ-IQ3 的运动平滑构念区分。</t>
        </is>
      </c>
      <c r="D18" s="52" t="inlineStr">
        <is>
          <t>计划书 v5.1 增补</t>
        </is>
      </c>
    </row>
    <row r="19" ht="48" customHeight="1">
      <c r="A19" s="66" t="inlineStr">
        <is>
          <t>家族命名</t>
        </is>
      </c>
      <c r="B19" s="114" t="inlineStr">
        <is>
          <t>已更名</t>
        </is>
      </c>
      <c r="C19" s="54" t="inlineStr">
        <is>
          <t>“已验证工具家族”→“已发表量表家族”（TiA 英文版验证证据有限，统称已验证过强）</t>
        </is>
      </c>
      <c r="D19" s="55" t="inlineStr">
        <is>
          <t>计划书〇节</t>
        </is>
      </c>
    </row>
    <row r="20">
      <c r="A20" t="inlineStr">
        <is>
          <t>中文施测措辞</t>
        </is>
      </c>
      <c r="B20" t="inlineStr">
        <is>
          <t>已冻结（2026-07-26）</t>
        </is>
      </c>
      <c r="C20" t="inlineStr">
        <is>
          <t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      </is>
      </c>
      <c r="D20" t="inlineStr">
        <is>
          <t>本研究语义审计记录（计划书 4.6 核对状态）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55" customWidth="1" min="4" max="4"/>
    <col width="48" customWidth="1" min="5" max="5"/>
    <col width="56" customWidth="1" min="6" max="6"/>
    <col width="18" customWidth="1" min="7" max="7"/>
    <col width="34" customWidth="1" min="8" max="8"/>
    <col width="47" customWidth="1" min="9" max="9"/>
  </cols>
  <sheetData>
    <row r="1" ht="30" customHeight="1">
      <c r="A1" s="26" t="inlineStr">
        <is>
          <t>实验三问卷全条目（v5.1 Verified）——本表为唯一条目字典，与计划书 4.2/4.4/4.5 逐字一致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58" customHeight="1">
      <c r="A2" s="33" t="inlineStr">
        <is>
          <t>中文施测版为头显或纸面呈现文本；官方英文原文仅用于核对，对象化英文施测版用于附录与英文施测。正式中文措辞已经逐条语义审计，预实验继续做确认性认知访谈。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30" customHeight="1">
      <c r="A4" s="73" t="inlineStr">
        <is>
          <t>A. 实验前背景（Participants 表填写，每人一次）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34" customHeight="1">
      <c r="A5" s="38" t="inlineStr">
        <is>
          <t>ID</t>
        </is>
      </c>
      <c r="B5" s="39" t="inlineStr">
        <is>
          <t>中文</t>
        </is>
      </c>
      <c r="C5" s="39" t="inlineStr">
        <is>
          <t>应答格式/选项</t>
        </is>
      </c>
      <c r="D5" s="126" t="n"/>
      <c r="E5" s="126" t="n"/>
      <c r="F5" s="126" t="n"/>
      <c r="G5" s="126" t="n"/>
      <c r="H5" s="126" t="n"/>
      <c r="I5" s="127" t="n"/>
    </row>
    <row r="6">
      <c r="A6" s="64" t="inlineStr">
        <is>
          <t>B1_Age</t>
        </is>
      </c>
      <c r="B6" s="49" t="inlineStr">
        <is>
          <t>年龄</t>
        </is>
      </c>
      <c r="C6" s="50" t="inlineStr">
        <is>
          <t>整数</t>
        </is>
      </c>
      <c r="D6" s="12" t="n"/>
      <c r="E6" s="12" t="n"/>
      <c r="F6" s="12" t="n"/>
      <c r="G6" s="12" t="n"/>
      <c r="H6" s="12" t="n"/>
      <c r="I6" s="12" t="n"/>
    </row>
    <row r="7">
      <c r="A7" s="65" t="inlineStr">
        <is>
          <t>B2_Gender</t>
        </is>
      </c>
      <c r="B7" s="12" t="inlineStr">
        <is>
          <t>性别</t>
        </is>
      </c>
      <c r="C7" s="52" t="inlineStr">
        <is>
          <t>女 / 男 / 非二元或其他 / 不愿透露</t>
        </is>
      </c>
      <c r="D7" s="12" t="n"/>
      <c r="E7" s="12" t="n"/>
      <c r="F7" s="12" t="n"/>
      <c r="G7" s="12" t="n"/>
      <c r="H7" s="12" t="n"/>
      <c r="I7" s="12" t="n"/>
    </row>
    <row r="8">
      <c r="A8" s="65" t="inlineStr">
        <is>
          <t>B3_Handedness</t>
        </is>
      </c>
      <c r="B8" s="12" t="inlineStr">
        <is>
          <t>主手（精细操作）</t>
        </is>
      </c>
      <c r="C8" s="52" t="inlineStr">
        <is>
          <t>右手 / 左手 / 双手均可</t>
        </is>
      </c>
      <c r="D8" s="12" t="n"/>
      <c r="E8" s="12" t="n"/>
      <c r="F8" s="12" t="n"/>
      <c r="G8" s="12" t="n"/>
      <c r="H8" s="12" t="n"/>
      <c r="I8" s="12" t="n"/>
    </row>
    <row r="9">
      <c r="A9" s="65" t="inlineStr">
        <is>
          <t>B4_Vision</t>
        </is>
      </c>
      <c r="B9" s="12" t="inlineStr">
        <is>
          <t>视力情况</t>
        </is>
      </c>
      <c r="C9" s="52" t="inlineStr">
        <is>
          <t>正常 / 矫正后正常 / 其他</t>
        </is>
      </c>
      <c r="D9" s="12" t="n"/>
      <c r="E9" s="12" t="n"/>
      <c r="F9" s="12" t="n"/>
      <c r="G9" s="12" t="n"/>
      <c r="H9" s="12" t="n"/>
      <c r="I9" s="12" t="n"/>
    </row>
    <row r="10">
      <c r="A10" s="65" t="inlineStr">
        <is>
          <t>B5_VRMR_Experience</t>
        </is>
      </c>
      <c r="B10" s="12" t="inlineStr">
        <is>
          <t>VR/MR 使用经验</t>
        </is>
      </c>
      <c r="C10" s="52" t="inlineStr">
        <is>
          <t>从未 / 1–5 次 / 6–20 次 / 超过 20 次 / 经常使用</t>
        </is>
      </c>
      <c r="D10" s="12" t="n"/>
      <c r="E10" s="12" t="n"/>
      <c r="F10" s="12" t="n"/>
      <c r="G10" s="12" t="n"/>
      <c r="H10" s="12" t="n"/>
      <c r="I10" s="12" t="n"/>
    </row>
    <row r="11">
      <c r="A11" s="66" t="inlineStr">
        <is>
          <t>B6_PhysObj_MR_Experience</t>
        </is>
      </c>
      <c r="B11" s="54" t="inlineStr">
        <is>
          <t>实物 AR/MR 交互经验（需操作真实物体的应用）</t>
        </is>
      </c>
      <c r="C11" s="55" t="inlineStr">
        <is>
          <t>从未 / 1–2 次 / 数次 / 经常</t>
        </is>
      </c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30" customHeight="1">
      <c r="A13" s="73" t="inlineStr">
        <is>
          <t>B. 区块级 13 项必答 + Q10 可选（每个方法×物体区块后；统一七点同意度；界面标题：请根据刚才在这个物体上的体验作答）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34" customHeight="1">
      <c r="A14" s="38" t="inlineStr">
        <is>
          <t>页序</t>
        </is>
      </c>
      <c r="B14" s="39" t="inlineStr">
        <is>
          <t>Item_ID</t>
        </is>
      </c>
      <c r="C14" s="39" t="inlineStr">
        <is>
          <t>简称</t>
        </is>
      </c>
      <c r="D14" s="39" t="inlineStr">
        <is>
          <t>中文施测版</t>
        </is>
      </c>
      <c r="E14" s="39" t="inlineStr">
        <is>
          <t>官方英文原文</t>
        </is>
      </c>
      <c r="F14" s="39" t="inlineStr">
        <is>
          <t>对象化英文施测版</t>
        </is>
      </c>
      <c r="G14" s="39" t="inlineStr">
        <is>
          <t>分析家族</t>
        </is>
      </c>
      <c r="H14" s="39" t="inlineStr">
        <is>
          <t>来源</t>
        </is>
      </c>
      <c r="I14" s="40" t="inlineStr">
        <is>
          <t>备注</t>
        </is>
      </c>
    </row>
    <row r="15" ht="62" customHeight="1">
      <c r="A15" s="137" t="inlineStr">
        <is>
          <t>1</t>
        </is>
      </c>
      <c r="B15" s="138" t="inlineStr">
        <is>
          <t>Q1</t>
        </is>
      </c>
      <c r="C15" s="138" t="inlineStr">
        <is>
          <t>静止稳定</t>
        </is>
      </c>
      <c r="D15" s="138" t="inlineStr">
        <is>
          <t>在静止观察阶段，虚拟内容保持在同一位置不动。</t>
        </is>
      </c>
      <c r="E15" s="138" t="inlineStr">
        <is>
          <t>—</t>
        </is>
      </c>
      <c r="F15" s="138" t="inlineStr">
        <is>
          <t>During static observation, the virtual content stayed in the same position without moving.</t>
        </is>
      </c>
      <c r="G15" s="138" t="inlineStr">
        <is>
          <t>主证实</t>
        </is>
      </c>
      <c r="H15" s="138" t="inlineStr">
        <is>
          <t>自制（v4 冻结）</t>
        </is>
      </c>
      <c r="I15" s="139" t="inlineStr">
        <is>
          <t>时间稳定性；pilot 检查“同一位置”参照系理解</t>
        </is>
      </c>
    </row>
    <row r="16" ht="62" customHeight="1">
      <c r="A16" s="137" t="inlineStr">
        <is>
          <t>2</t>
        </is>
      </c>
      <c r="B16" s="138" t="inlineStr">
        <is>
          <t>Q2</t>
        </is>
      </c>
      <c r="C16" s="138" t="inlineStr">
        <is>
          <t>运动附着</t>
        </is>
      </c>
      <c r="D16" s="138" t="inlineStr">
        <is>
          <t>在拿起、移动和旋转物体时，虚拟内容始终附着在真实物体上的同一位置。</t>
        </is>
      </c>
      <c r="E16" s="138" t="inlineStr">
        <is>
          <t>—</t>
        </is>
      </c>
      <c r="F16" s="138" t="inlineStr">
        <is>
          <t>While I picked up, moved, and rotated the object, the virtual content remained attached to the same location on the physical object.</t>
        </is>
      </c>
      <c r="G16" s="138" t="inlineStr">
        <is>
          <t>主证实</t>
        </is>
      </c>
      <c r="H16" s="138" t="inlineStr">
        <is>
          <t>自制（v5.1 锐化措辞）</t>
        </is>
      </c>
      <c r="I16" s="139" t="inlineStr">
        <is>
          <t>测附着位置恒定，与 AQ_IQ3 平滑正交；认知访谈确认区分</t>
        </is>
      </c>
    </row>
    <row r="17" ht="62" customHeight="1">
      <c r="A17" s="137" t="inlineStr">
        <is>
          <t>3</t>
        </is>
      </c>
      <c r="B17" s="138" t="inlineStr">
        <is>
          <t>Q9</t>
        </is>
      </c>
      <c r="C17" s="138" t="inlineStr">
        <is>
          <t>姿态一致</t>
        </is>
      </c>
      <c r="D17" s="138" t="inlineStr">
        <is>
          <t>旋转物体时，虚拟内容的朝向与真实物体的朝向保持一致。</t>
        </is>
      </c>
      <c r="E17" s="138" t="inlineStr">
        <is>
          <t>—</t>
        </is>
      </c>
      <c r="F17" s="138" t="inlineStr">
        <is>
          <t>While I rotated the object, the orientation of the virtual content stayed consistent with the orientation of the physical object.</t>
        </is>
      </c>
      <c r="G17" s="138" t="inlineStr">
        <is>
          <t>主证实</t>
        </is>
      </c>
      <c r="H17" s="138" t="inlineStr">
        <is>
          <t>自制（v4 冻结）</t>
        </is>
      </c>
      <c r="I17" s="139" t="inlineStr">
        <is>
          <t>旋转通道独立诊断</t>
        </is>
      </c>
    </row>
    <row r="18" ht="62" customHeight="1">
      <c r="A18" s="152" t="inlineStr">
        <is>
          <t>3'</t>
        </is>
      </c>
      <c r="B18" s="75" t="inlineStr">
        <is>
          <t>Q10_OPT</t>
        </is>
      </c>
      <c r="C18" s="75" t="inlineStr">
        <is>
          <t>放置后稳定（可选）</t>
        </is>
      </c>
      <c r="D18" s="75" t="inlineStr">
        <is>
          <t>把物体放到桌面后，虚拟内容很快就稳定下来。</t>
        </is>
      </c>
      <c r="E18" s="75" t="inlineStr">
        <is>
          <t>—</t>
        </is>
      </c>
      <c r="F18" s="75" t="inlineStr">
        <is>
          <t>After I placed the object on the table, the virtual content settled quickly.</t>
        </is>
      </c>
      <c r="G18" s="75" t="inlineStr">
        <is>
          <t>次级</t>
        </is>
      </c>
      <c r="H18" s="75" t="inlineStr">
        <is>
          <t>自制（v4 可选）</t>
        </is>
      </c>
      <c r="I18" s="153" t="inlineStr">
        <is>
          <t>默认停用；预实验冻结是否启用</t>
        </is>
      </c>
    </row>
    <row r="19" ht="62" customHeight="1">
      <c r="A19" s="160" t="inlineStr">
        <is>
          <t>4</t>
        </is>
      </c>
      <c r="B19" s="161" t="inlineStr">
        <is>
          <t>AQ_IQ2</t>
        </is>
      </c>
      <c r="C19" s="161" t="inlineStr">
        <is>
          <t>响应及时</t>
        </is>
      </c>
      <c r="D19" s="161" t="inlineStr">
        <is>
          <t>虚拟内容实时响应我对真实物体的操作。</t>
        </is>
      </c>
      <c r="E19" s="161" t="inlineStr">
        <is>
          <t>The virtual object responds in real-time.</t>
        </is>
      </c>
      <c r="F19" s="161" t="inlineStr">
        <is>
          <t>The virtual content responds in real-time to my manipulation of the physical object.</t>
        </is>
      </c>
      <c r="G19" s="161" t="inlineStr">
        <is>
          <t>已发表量表</t>
        </is>
      </c>
      <c r="H19" s="161" t="inlineStr">
        <is>
          <t>AQ Interaction Quality（对象化适配）</t>
        </is>
      </c>
      <c r="I19" s="162" t="inlineStr">
        <is>
          <t>AQ-IQ 子量表分 = IQ1/IQ2/IQ3 均值（分析派生）</t>
        </is>
      </c>
    </row>
    <row r="20" ht="62" customHeight="1">
      <c r="A20" s="160" t="inlineStr">
        <is>
          <t>5</t>
        </is>
      </c>
      <c r="B20" s="161" t="inlineStr">
        <is>
          <t>AQ_IQ3</t>
        </is>
      </c>
      <c r="C20" s="161" t="inlineStr">
        <is>
          <t>运动平滑</t>
        </is>
      </c>
      <c r="D20" s="161" t="inlineStr">
        <is>
          <t>在交互过程中，虚拟内容随真实物体平滑运动。</t>
        </is>
      </c>
      <c r="E20" s="161" t="inlineStr">
        <is>
          <t>The virtual object moves smoothly.</t>
        </is>
      </c>
      <c r="F20" s="161" t="inlineStr">
        <is>
          <t>The virtual content moves smoothly with the physical object during interaction.</t>
        </is>
      </c>
      <c r="G20" s="161" t="inlineStr">
        <is>
          <t>已发表量表</t>
        </is>
      </c>
      <c r="H20" s="161" t="inlineStr">
        <is>
          <t>AQ Interaction Quality（对象化适配）</t>
        </is>
      </c>
      <c r="I20" s="162" t="inlineStr"/>
    </row>
    <row r="21" ht="62" customHeight="1">
      <c r="A21" s="137" t="inlineStr">
        <is>
          <t>6</t>
        </is>
      </c>
      <c r="B21" s="138" t="inlineStr">
        <is>
          <t>Q3</t>
        </is>
      </c>
      <c r="C21" s="138" t="inlineStr">
        <is>
          <t>恢复一致</t>
        </is>
      </c>
      <c r="D21" s="138" t="inlineStr">
        <is>
          <t>遮挡移除后，虚拟内容恢复到了与真实物体一致的位置。</t>
        </is>
      </c>
      <c r="E21" s="138" t="inlineStr">
        <is>
          <t>—</t>
        </is>
      </c>
      <c r="F21" s="138" t="inlineStr">
        <is>
          <t>After the occlusion was removed, the virtual content recovered to a position consistent with the physical object.</t>
        </is>
      </c>
      <c r="G21" s="138" t="inlineStr">
        <is>
          <t>主证实</t>
        </is>
      </c>
      <c r="H21" s="138" t="inlineStr">
        <is>
          <t>自制（v4 冻结）</t>
        </is>
      </c>
      <c r="I21" s="139" t="inlineStr">
        <is>
          <t>恢复后空间一致性</t>
        </is>
      </c>
    </row>
    <row r="22" ht="62" customHeight="1">
      <c r="A22" s="137" t="inlineStr">
        <is>
          <t>7</t>
        </is>
      </c>
      <c r="B22" s="138" t="inlineStr">
        <is>
          <t>Q8</t>
        </is>
      </c>
      <c r="C22" s="138" t="inlineStr">
        <is>
          <t>位置正确</t>
        </is>
      </c>
      <c r="D22" s="138" t="inlineStr">
        <is>
          <t>虚拟内容出现的位置，与真实物体实际所在的位置相符。</t>
        </is>
      </c>
      <c r="E22" s="138" t="inlineStr">
        <is>
          <t>—</t>
        </is>
      </c>
      <c r="F22" s="138" t="inlineStr">
        <is>
          <t>The virtual content appeared at a position that matched where the physical object actually was.</t>
        </is>
      </c>
      <c r="G22" s="138" t="inlineStr">
        <is>
          <t>主证实</t>
        </is>
      </c>
      <c r="H22" s="138" t="inlineStr">
        <is>
          <t>自制（v4 冻结）</t>
        </is>
      </c>
      <c r="I22" s="139" t="inlineStr">
        <is>
          <t>主观空间正确性，不作客观配准误差；与 Q1 相隔五题</t>
        </is>
      </c>
    </row>
    <row r="23" ht="62" customHeight="1">
      <c r="A23" s="160" t="inlineStr">
        <is>
          <t>8</t>
        </is>
      </c>
      <c r="B23" s="161" t="inlineStr">
        <is>
          <t>AQ_EQ1</t>
        </is>
      </c>
      <c r="C23" s="161" t="inlineStr">
        <is>
          <t>融合</t>
        </is>
      </c>
      <c r="D23" s="161" t="inlineStr">
        <is>
          <t>虚拟内容与真实物体及周围真实元素自然融合。</t>
        </is>
      </c>
      <c r="E23" s="161" t="inlineStr">
        <is>
          <t>The virtual object blends in with real elements.</t>
        </is>
      </c>
      <c r="F23" s="161" t="inlineStr">
        <is>
          <t>The virtual content blends in with the physical object and surrounding real elements.</t>
        </is>
      </c>
      <c r="G23" s="161" t="inlineStr">
        <is>
          <t>已发表量表</t>
        </is>
      </c>
      <c r="H23" s="161" t="inlineStr">
        <is>
          <t>AQ Embedding Quality（对象化适配）</t>
        </is>
      </c>
      <c r="I23" s="162" t="inlineStr">
        <is>
          <t>AQ-EQ 子量表分 = EQ1/EQ2/EQ3 均值（分析派生）</t>
        </is>
      </c>
    </row>
    <row r="24" ht="62" customHeight="1">
      <c r="A24" s="160" t="inlineStr">
        <is>
          <t>9</t>
        </is>
      </c>
      <c r="B24" s="161" t="inlineStr">
        <is>
          <t>AQ_EQ2</t>
        </is>
      </c>
      <c r="C24" s="161" t="inlineStr">
        <is>
          <t>嵌入可信</t>
        </is>
      </c>
      <c r="D24" s="161" t="inlineStr">
        <is>
          <t>虚拟内容真实地嵌入在真实物体及其现实环境中。</t>
        </is>
      </c>
      <c r="E24" s="161" t="inlineStr">
        <is>
          <t>The virtual object is realistically embedded in the environment.</t>
        </is>
      </c>
      <c r="F24" s="161" t="inlineStr">
        <is>
          <t>The virtual content is realistically embedded in the physical object and its real-world context.</t>
        </is>
      </c>
      <c r="G24" s="161" t="inlineStr">
        <is>
          <t>已发表量表</t>
        </is>
      </c>
      <c r="H24" s="161" t="inlineStr">
        <is>
          <t>AQ Embedding Quality（对象化适配）</t>
        </is>
      </c>
      <c r="I24" s="162" t="inlineStr">
        <is>
          <t>接管原 Q4 合理可信构念</t>
        </is>
      </c>
    </row>
    <row r="25" ht="62" customHeight="1">
      <c r="A25" s="160" t="inlineStr">
        <is>
          <t>10</t>
        </is>
      </c>
      <c r="B25" s="161" t="inlineStr">
        <is>
          <t>AQ_EQ3</t>
        </is>
      </c>
      <c r="C25" s="161" t="inlineStr">
        <is>
          <t>尺度协调</t>
        </is>
      </c>
      <c r="D25" s="161" t="inlineStr">
        <is>
          <t>虚拟内容的尺度与真实物体及现实世界中的事物相匹配。</t>
        </is>
      </c>
      <c r="E25" s="161" t="inlineStr">
        <is>
          <t>The size of the virtual object is in scale to things in the real world.</t>
        </is>
      </c>
      <c r="F25" s="161" t="inlineStr">
        <is>
          <t>The size of the virtual content is in scale to the physical object and things in the real world.</t>
        </is>
      </c>
      <c r="G25" s="161" t="inlineStr">
        <is>
          <t>已发表量表</t>
        </is>
      </c>
      <c r="H25" s="161" t="inlineStr">
        <is>
          <t>AQ Embedding Quality（对象化适配）</t>
        </is>
      </c>
      <c r="I25" s="162" t="inlineStr">
        <is>
          <t>预期天花板；保留以维持完整子量表</t>
        </is>
      </c>
    </row>
    <row r="26" ht="62" customHeight="1">
      <c r="A26" s="160" t="inlineStr">
        <is>
          <t>11</t>
        </is>
      </c>
      <c r="B26" s="161" t="inlineStr">
        <is>
          <t>AQ_IQ1</t>
        </is>
      </c>
      <c r="C26" s="161" t="inlineStr">
        <is>
          <t>交互直观</t>
        </is>
      </c>
      <c r="D26" s="161" t="inlineStr">
        <is>
          <t>通过操作真实物体与虚拟内容进行交互是直观的。</t>
        </is>
      </c>
      <c r="E26" s="161" t="inlineStr">
        <is>
          <t>Interaction with the virtual object is intuitive.</t>
        </is>
      </c>
      <c r="F26" s="161" t="inlineStr">
        <is>
          <t>Interaction with the virtual content through manipulation of the physical object is intuitive.</t>
        </is>
      </c>
      <c r="G26" s="161" t="inlineStr">
        <is>
          <t>已发表量表</t>
        </is>
      </c>
      <c r="H26" s="161" t="inlineStr">
        <is>
          <t>AQ Interaction Quality（对象化适配）</t>
        </is>
      </c>
      <c r="I26" s="162" t="inlineStr"/>
    </row>
    <row r="27" ht="62" customHeight="1">
      <c r="A27" s="137" t="inlineStr">
        <is>
          <t>12</t>
        </is>
      </c>
      <c r="B27" s="138" t="inlineStr">
        <is>
          <t>Q6</t>
        </is>
      </c>
      <c r="C27" s="138" t="inlineStr">
        <is>
          <t>依赖意愿</t>
        </is>
      </c>
      <c r="D27" s="138" t="inlineStr">
        <is>
          <t>在需要虚拟内容准确附着于真实物体的混合现实应用中，我愿意依赖这种锚定方法。</t>
        </is>
      </c>
      <c r="E27" s="138" t="inlineStr">
        <is>
          <t>—</t>
        </is>
      </c>
      <c r="F27" s="138" t="inlineStr">
        <is>
          <t>I would be willing to rely on this anchoring method in an MR application that requires virtual content to be accurately attached to a physical object.</t>
        </is>
      </c>
      <c r="G27" s="138" t="inlineStr">
        <is>
          <t>主证实</t>
        </is>
      </c>
      <c r="H27" s="138" t="inlineStr">
        <is>
          <t>自制（v4 冻结）</t>
        </is>
      </c>
      <c r="I27" s="139" t="inlineStr">
        <is>
          <t>应用侧依赖意愿（区块级信任）</t>
        </is>
      </c>
    </row>
    <row r="28" ht="62" customHeight="1">
      <c r="A28" s="137" t="inlineStr">
        <is>
          <t>13</t>
        </is>
      </c>
      <c r="B28" s="138" t="inlineStr">
        <is>
          <t>Q7</t>
        </is>
      </c>
      <c r="C28" s="138" t="inlineStr">
        <is>
          <t>稳定-响应平衡</t>
        </is>
      </c>
      <c r="D28" s="138" t="inlineStr">
        <is>
          <t>总体而言，该方法在锚点稳定性与响应及时性之间取得了合适的平衡。</t>
        </is>
      </c>
      <c r="E28" s="138" t="inlineStr">
        <is>
          <t>—</t>
        </is>
      </c>
      <c r="F28" s="138" t="inlineStr">
        <is>
          <t>Overall, this method achieved an appropriate balance between anchor stability and responsiveness.</t>
        </is>
      </c>
      <c r="G28" s="138" t="inlineStr">
        <is>
          <t>主证实</t>
        </is>
      </c>
      <c r="H28" s="138" t="inlineStr">
        <is>
          <t>自制（v4 冻结）</t>
        </is>
      </c>
      <c r="I28" s="139" t="inlineStr">
        <is>
          <t>双构念总结项；与实验一稳定/时延结果联合解释</t>
        </is>
      </c>
    </row>
    <row r="29">
      <c r="A29" s="80" t="inlineStr">
        <is>
          <t>量尺</t>
        </is>
      </c>
      <c r="B29" s="80" t="inlineStr">
        <is>
          <t>七点同意度：1 完全不同意 … 7 完全同意</t>
        </is>
      </c>
      <c r="C29" s="80" t="inlineStr">
        <is>
          <t>同一条目在全部区块中措辞与刻度完全相同；每页一题、确认后翻页；不显示既往回答</t>
        </is>
      </c>
      <c r="D29" s="80" t="n"/>
      <c r="E29" s="80" t="n"/>
      <c r="F29" s="80" t="n"/>
      <c r="G29" s="80" t="n"/>
      <c r="H29" s="80" t="n"/>
      <c r="I29" s="8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30" customHeight="1">
      <c r="A31" s="73" t="inlineStr">
        <is>
          <t>C. 方法级（全部六区块完成后，按 S1 先 A / S2 先 B 依次评价两方法；界面标题：请根据方法 X 在全部三个物体上的整体表现作答）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175" t="inlineStr">
        <is>
          <t>C1. adapted TiA 两分量表（10 项）</t>
        </is>
      </c>
      <c r="B32" s="175" t="inlineStr">
        <is>
          <t>五点同意度：1 Strongly disagree / 2 Rather disagree / 3 Neither / 4 Rather agree / 5 Strongly agree；允许无法回答（记缺失）</t>
        </is>
      </c>
      <c r="C32" s="175" t="inlineStr">
        <is>
          <t>反向项计分 = 6 − 原始分（仅分析派生）；分量表分 = 有效条目均值；呈现按官方相对顺序交错（官方条目 1,2,6,7,10,11,13,15,16,19），参与者界面只显示中性序号第 1–10 题，下表按分量表分组仅为规格</t>
        </is>
      </c>
      <c r="D32" s="175" t="n"/>
      <c r="E32" s="175" t="n"/>
      <c r="F32" s="175" t="n"/>
      <c r="G32" s="175" t="n"/>
      <c r="H32" s="175" t="n"/>
      <c r="I32" s="175" t="n"/>
    </row>
    <row r="33" ht="34" customHeight="1">
      <c r="A33" s="38" t="inlineStr">
        <is>
          <t>Item_ID</t>
        </is>
      </c>
      <c r="B33" s="39" t="inlineStr">
        <is>
          <t>分量表</t>
        </is>
      </c>
      <c r="C33" s="39" t="inlineStr">
        <is>
          <t>官方英文原文</t>
        </is>
      </c>
      <c r="D33" s="39" t="inlineStr">
        <is>
          <t>中文施测版（已冻结）</t>
        </is>
      </c>
      <c r="E33" s="39" t="inlineStr">
        <is>
          <t>反向</t>
        </is>
      </c>
      <c r="F33" s="39" t="inlineStr">
        <is>
          <t>官方条目号</t>
        </is>
      </c>
      <c r="G33" s="39" t="n"/>
      <c r="H33" s="39" t="n"/>
      <c r="I33" s="40" t="n"/>
    </row>
    <row r="34" ht="50" customHeight="1">
      <c r="A34" s="137" t="inlineStr">
        <is>
          <t>TIA_RC1</t>
        </is>
      </c>
      <c r="B34" s="138" t="inlineStr">
        <is>
          <t>Reliability/Competence</t>
        </is>
      </c>
      <c r="C34" s="138" t="inlineStr">
        <is>
          <t>The system is capable of interpreting situations correctly.</t>
        </is>
      </c>
      <c r="D34" s="138" t="inlineStr">
        <is>
          <t>这种对象锚定方法能够正确判断当前状况。</t>
        </is>
      </c>
      <c r="E34" s="138" t="inlineStr">
        <is>
          <t>否</t>
        </is>
      </c>
      <c r="F34" s="139" t="n">
        <v>1</v>
      </c>
      <c r="G34" s="12" t="n"/>
      <c r="H34" s="12" t="n"/>
      <c r="I34" s="12" t="n"/>
    </row>
    <row r="35" ht="50" customHeight="1">
      <c r="A35" s="137" t="inlineStr">
        <is>
          <t>TIA_RC2</t>
        </is>
      </c>
      <c r="B35" s="138" t="inlineStr">
        <is>
          <t>Reliability/Competence</t>
        </is>
      </c>
      <c r="C35" s="138" t="inlineStr">
        <is>
          <t>The system works reliably.</t>
        </is>
      </c>
      <c r="D35" s="138" t="inlineStr">
        <is>
          <t>这种对象锚定方法运行可靠。</t>
        </is>
      </c>
      <c r="E35" s="138" t="inlineStr">
        <is>
          <t>否</t>
        </is>
      </c>
      <c r="F35" s="139" t="n">
        <v>6</v>
      </c>
      <c r="G35" s="12" t="n"/>
      <c r="H35" s="12" t="n"/>
      <c r="I35" s="12" t="n"/>
    </row>
    <row r="36" ht="50" customHeight="1">
      <c r="A36" s="137" t="inlineStr">
        <is>
          <t>TIA_RC3</t>
        </is>
      </c>
      <c r="B36" s="138" t="inlineStr">
        <is>
          <t>Reliability/Competence</t>
        </is>
      </c>
      <c r="C36" s="138" t="inlineStr">
        <is>
          <t>A system malfunction is likely.</t>
        </is>
      </c>
      <c r="D36" s="138" t="inlineStr">
        <is>
          <t>这种对象锚定方法很可能发生故障。</t>
        </is>
      </c>
      <c r="E36" s="180" t="inlineStr">
        <is>
          <t>是</t>
        </is>
      </c>
      <c r="F36" s="139" t="n">
        <v>10</v>
      </c>
      <c r="G36" s="12" t="n"/>
      <c r="H36" s="12" t="n"/>
      <c r="I36" s="12" t="n"/>
    </row>
    <row r="37" ht="50" customHeight="1">
      <c r="A37" s="137" t="inlineStr">
        <is>
          <t>TIA_RC4</t>
        </is>
      </c>
      <c r="B37" s="138" t="inlineStr">
        <is>
          <t>Reliability/Competence</t>
        </is>
      </c>
      <c r="C37" s="138" t="inlineStr">
        <is>
          <t>The system is capable of taking over complicated tasks.</t>
        </is>
      </c>
      <c r="D37" s="138" t="inlineStr">
        <is>
          <t>这种对象锚定方法能够承担复杂的锚定任务。</t>
        </is>
      </c>
      <c r="E37" s="138" t="inlineStr">
        <is>
          <t>否</t>
        </is>
      </c>
      <c r="F37" s="139" t="n">
        <v>13</v>
      </c>
      <c r="G37" s="12" t="n"/>
      <c r="H37" s="12" t="n"/>
      <c r="I37" s="12" t="n"/>
    </row>
    <row r="38" ht="50" customHeight="1">
      <c r="A38" s="137" t="inlineStr">
        <is>
          <t>TIA_RC5</t>
        </is>
      </c>
      <c r="B38" s="138" t="inlineStr">
        <is>
          <t>Reliability/Competence</t>
        </is>
      </c>
      <c r="C38" s="138" t="inlineStr">
        <is>
          <t>The system might make sporadic errors.</t>
        </is>
      </c>
      <c r="D38" s="138" t="inlineStr">
        <is>
          <t>这种对象锚定方法可能偶尔出错。</t>
        </is>
      </c>
      <c r="E38" s="180" t="inlineStr">
        <is>
          <t>是</t>
        </is>
      </c>
      <c r="F38" s="139" t="n">
        <v>15</v>
      </c>
      <c r="G38" s="12" t="n"/>
      <c r="H38" s="12" t="n"/>
      <c r="I38" s="12" t="n"/>
    </row>
    <row r="39" ht="50" customHeight="1">
      <c r="A39" s="137" t="inlineStr">
        <is>
          <t>TIA_RC6</t>
        </is>
      </c>
      <c r="B39" s="138" t="inlineStr">
        <is>
          <t>Reliability/Competence</t>
        </is>
      </c>
      <c r="C39" s="138" t="inlineStr">
        <is>
          <t>I am confident about the system's capabilities.</t>
        </is>
      </c>
      <c r="D39" s="138" t="inlineStr">
        <is>
          <t>我对这种对象锚定方法的能力有信心。</t>
        </is>
      </c>
      <c r="E39" s="138" t="inlineStr">
        <is>
          <t>否</t>
        </is>
      </c>
      <c r="F39" s="139" t="n">
        <v>19</v>
      </c>
      <c r="G39" s="12" t="n"/>
      <c r="H39" s="12" t="n"/>
      <c r="I39" s="12" t="n"/>
    </row>
    <row r="40" ht="50" customHeight="1">
      <c r="A40" s="185" t="inlineStr">
        <is>
          <t>TIA_UP1</t>
        </is>
      </c>
      <c r="B40" s="186" t="inlineStr">
        <is>
          <t>Understanding/Predictability</t>
        </is>
      </c>
      <c r="C40" s="186" t="inlineStr">
        <is>
          <t>The system state was always clear to me.</t>
        </is>
      </c>
      <c r="D40" s="186" t="inlineStr">
        <is>
          <t>这种对象锚定方法的状态对我来说始终清楚。</t>
        </is>
      </c>
      <c r="E40" s="186" t="inlineStr">
        <is>
          <t>否</t>
        </is>
      </c>
      <c r="F40" s="187" t="n">
        <v>2</v>
      </c>
      <c r="G40" s="12" t="n"/>
      <c r="H40" s="12" t="n"/>
      <c r="I40" s="12" t="n"/>
    </row>
    <row r="41" ht="50" customHeight="1">
      <c r="A41" s="185" t="inlineStr">
        <is>
          <t>TIA_UP2</t>
        </is>
      </c>
      <c r="B41" s="186" t="inlineStr">
        <is>
          <t>Understanding/Predictability</t>
        </is>
      </c>
      <c r="C41" s="186" t="inlineStr">
        <is>
          <t>The system reacts unpredictably.</t>
        </is>
      </c>
      <c r="D41" s="186" t="inlineStr">
        <is>
          <t>这种对象锚定方法的反应难以预测。</t>
        </is>
      </c>
      <c r="E41" s="180" t="inlineStr">
        <is>
          <t>是</t>
        </is>
      </c>
      <c r="F41" s="187" t="n">
        <v>7</v>
      </c>
      <c r="G41" s="12" t="n"/>
      <c r="H41" s="12" t="n"/>
      <c r="I41" s="12" t="n"/>
    </row>
    <row r="42" ht="50" customHeight="1">
      <c r="A42" s="185" t="inlineStr">
        <is>
          <t>TIA_UP3</t>
        </is>
      </c>
      <c r="B42" s="186" t="inlineStr">
        <is>
          <t>Understanding/Predictability</t>
        </is>
      </c>
      <c r="C42" s="186" t="inlineStr">
        <is>
          <t>I was able to understand why things happened.</t>
        </is>
      </c>
      <c r="D42" s="186" t="inlineStr">
        <is>
          <t>我能够理解为什么会出现刚才的锚定行为。</t>
        </is>
      </c>
      <c r="E42" s="186" t="inlineStr">
        <is>
          <t>否</t>
        </is>
      </c>
      <c r="F42" s="187" t="n">
        <v>11</v>
      </c>
      <c r="G42" s="12" t="n"/>
      <c r="H42" s="12" t="n"/>
      <c r="I42" s="12" t="n"/>
    </row>
    <row r="43" ht="50" customHeight="1">
      <c r="A43" s="185" t="inlineStr">
        <is>
          <t>TIA_UP4</t>
        </is>
      </c>
      <c r="B43" s="186" t="inlineStr">
        <is>
          <t>Understanding/Predictability</t>
        </is>
      </c>
      <c r="C43" s="186" t="inlineStr">
        <is>
          <t>It's difficult to identify what the system will do next.</t>
        </is>
      </c>
      <c r="D43" s="186" t="inlineStr">
        <is>
          <t>我很难判断这种对象锚定方法接下来会怎样表现。</t>
        </is>
      </c>
      <c r="E43" s="180" t="inlineStr">
        <is>
          <t>是</t>
        </is>
      </c>
      <c r="F43" s="187" t="n">
        <v>16</v>
      </c>
      <c r="G43" s="12" t="n"/>
      <c r="H43" s="12" t="n"/>
      <c r="I43" s="12" t="n"/>
    </row>
    <row r="44">
      <c r="A44" s="77" t="inlineStr">
        <is>
          <t>认知访谈最高优先：TIA_RC1（“判断状况”对低层锚定偏抽象）、TIA_RC4（“承担复杂任务”语义匹配较弱）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199" t="inlineStr">
        <is>
          <t>—— 尺度切换提示页：TiA（五点同意度）→ S-TIAS（七点程度尺），端点改变须参与者确认 ——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36" customHeight="1">
      <c r="A46" s="175" t="inlineStr">
        <is>
          <t>C2. adapted S-TIAS（3 项）</t>
        </is>
      </c>
      <c r="B46" s="175" t="inlineStr">
        <is>
          <t>七点程度尺：1 Not at all（完全没有）… 7 Extremely（非常强烈）</t>
        </is>
      </c>
      <c r="C46" s="175" t="inlineStr">
        <is>
          <t>三项均值；原研究指代 the AI assistant</t>
        </is>
      </c>
      <c r="D46" s="175" t="n"/>
      <c r="E46" s="175" t="n"/>
      <c r="F46" s="175" t="n"/>
      <c r="G46" s="175" t="n"/>
      <c r="H46" s="175" t="n"/>
      <c r="I46" s="175" t="n"/>
    </row>
    <row r="47" ht="32" customHeight="1">
      <c r="A47" s="38" t="inlineStr">
        <is>
          <t>Item_ID</t>
        </is>
      </c>
      <c r="B47" s="39" t="inlineStr">
        <is>
          <t>官方研究英文</t>
        </is>
      </c>
      <c r="C47" s="40" t="inlineStr">
        <is>
          <t>中文施测版</t>
        </is>
      </c>
      <c r="D47" s="175" t="n"/>
      <c r="E47" s="175" t="n"/>
      <c r="F47" s="175" t="n"/>
      <c r="G47" s="175" t="n"/>
      <c r="H47" s="175" t="n"/>
      <c r="I47" s="175" t="n"/>
    </row>
    <row r="48" ht="42" customHeight="1">
      <c r="A48" s="200" t="inlineStr">
        <is>
          <t>STIAS1</t>
        </is>
      </c>
      <c r="B48" s="201" t="inlineStr">
        <is>
          <t>I am confident in the AI assistant.</t>
        </is>
      </c>
      <c r="C48" s="202" t="inlineStr">
        <is>
          <t>我对这种对象锚定方法有信心。</t>
        </is>
      </c>
      <c r="D48" s="12" t="n"/>
      <c r="E48" s="12" t="n"/>
      <c r="F48" s="12" t="n"/>
      <c r="G48" s="12" t="n"/>
      <c r="H48" s="12" t="n"/>
      <c r="I48" s="12" t="n"/>
    </row>
    <row r="49" ht="42" customHeight="1">
      <c r="A49" s="158" t="inlineStr">
        <is>
          <t>STIAS2</t>
        </is>
      </c>
      <c r="B49" s="106" t="inlineStr">
        <is>
          <t>The AI assistant is reliable.</t>
        </is>
      </c>
      <c r="C49" s="159" t="inlineStr">
        <is>
          <t>这种对象锚定方法是可靠的。</t>
        </is>
      </c>
      <c r="D49" s="12" t="n"/>
      <c r="E49" s="12" t="n"/>
      <c r="F49" s="12" t="n"/>
      <c r="G49" s="12" t="n"/>
      <c r="H49" s="12" t="n"/>
      <c r="I49" s="12" t="n"/>
    </row>
    <row r="50" ht="42" customHeight="1">
      <c r="A50" s="203" t="inlineStr">
        <is>
          <t>STIAS3</t>
        </is>
      </c>
      <c r="B50" s="112" t="inlineStr">
        <is>
          <t>I can trust the AI assistant.</t>
        </is>
      </c>
      <c r="C50" s="204" t="inlineStr">
        <is>
          <t>我可以信任这种对象锚定方法。</t>
        </is>
      </c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0" customHeight="1">
      <c r="A52" s="73" t="inlineStr">
        <is>
          <t>D. 最终问卷（摘下头显后；回答完成前保持匿名；两项强制选择独立作答）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34" customHeight="1">
      <c r="A53" s="38" t="inlineStr">
        <is>
          <t>ID</t>
        </is>
      </c>
      <c r="B53" s="39" t="inlineStr">
        <is>
          <t>中文</t>
        </is>
      </c>
      <c r="C53" s="39" t="inlineStr">
        <is>
          <t>应答格式</t>
        </is>
      </c>
      <c r="D53" s="39" t="inlineStr">
        <is>
          <t>备注</t>
        </is>
      </c>
      <c r="E53" s="39" t="n"/>
      <c r="F53" s="39" t="n"/>
      <c r="G53" s="39" t="n"/>
      <c r="H53" s="39" t="n"/>
      <c r="I53" s="40" t="n"/>
    </row>
    <row r="54" ht="52" customHeight="1">
      <c r="A54" s="64" t="inlineStr">
        <is>
          <t>FINAL_METHOD_CHOICE</t>
        </is>
      </c>
      <c r="B54" s="84" t="inlineStr">
        <is>
          <t>如果需要在实际混合现实应用中使用一个对象锚定方法，你会选择哪一种？</t>
        </is>
      </c>
      <c r="C54" s="84" t="inlineStr">
        <is>
          <t>方法A / 方法B / 无明显偏好</t>
        </is>
      </c>
      <c r="D54" s="210" t="inlineStr">
        <is>
          <t>强制选择；离场后由分析代码按映射解码</t>
        </is>
      </c>
      <c r="E54" s="12" t="n"/>
      <c r="F54" s="12" t="n"/>
      <c r="G54" s="12" t="n"/>
      <c r="H54" s="12" t="n"/>
      <c r="I54" s="12" t="n"/>
    </row>
    <row r="55" ht="52" customHeight="1">
      <c r="A55" s="65" t="inlineStr">
        <is>
          <t>FINAL_PREFERENCE_STRENGTH</t>
        </is>
      </c>
      <c r="B55" s="85" t="inlineStr">
        <is>
          <t>你的选择有多明确？</t>
        </is>
      </c>
      <c r="C55" s="85" t="inlineStr">
        <is>
          <t>1 只有非常轻微的偏好 … 7 非常明确的偏好；选“无明显偏好”者跳过记 NA</t>
        </is>
      </c>
      <c r="D55" s="211" t="inlineStr">
        <is>
          <t>v5.1 新增；描述性</t>
        </is>
      </c>
      <c r="E55" s="12" t="n"/>
      <c r="F55" s="12" t="n"/>
      <c r="G55" s="12" t="n"/>
      <c r="H55" s="12" t="n"/>
      <c r="I55" s="12" t="n"/>
    </row>
    <row r="56" ht="52" customHeight="1">
      <c r="A56" s="65" t="inlineStr">
        <is>
          <t>FINAL_TRUST_CHOICE</t>
        </is>
      </c>
      <c r="B56" s="85" t="inlineStr">
        <is>
          <t>如果虚拟内容标注的位置会影响你在真实世界中的实际操作（例如提示你去拿哪个物体），你更信任哪一种方法的标注？</t>
        </is>
      </c>
      <c r="C56" s="85" t="inlineStr">
        <is>
          <t>方法A / 方法B / 无明显偏好</t>
        </is>
      </c>
      <c r="D56" s="211" t="inlineStr">
        <is>
          <t>与偏好选择独立作答；不一致本身是结果</t>
        </is>
      </c>
      <c r="E56" s="12" t="n"/>
      <c r="F56" s="12" t="n"/>
      <c r="G56" s="12" t="n"/>
      <c r="H56" s="12" t="n"/>
      <c r="I56" s="12" t="n"/>
    </row>
    <row r="57" ht="52" customHeight="1">
      <c r="A57" s="65" t="inlineStr">
        <is>
          <t>FINAL_DISCRIMINATION_CONFIDENCE</t>
        </is>
      </c>
      <c r="B57" s="85" t="inlineStr">
        <is>
          <t>你有多大信心认为自己能够感受到两种方法之间的差异？</t>
        </is>
      </c>
      <c r="C57" s="85" t="inlineStr">
        <is>
          <t>1 完全没有信心 … 7 非常有信心</t>
        </is>
      </c>
      <c r="D57" s="211" t="inlineStr">
        <is>
          <t>v5.1 新增；解释“无明显偏好”成因，兼作需求特征审计</t>
        </is>
      </c>
      <c r="E57" s="12" t="n"/>
      <c r="F57" s="12" t="n"/>
      <c r="G57" s="12" t="n"/>
      <c r="H57" s="12" t="n"/>
      <c r="I57" s="12" t="n"/>
    </row>
    <row r="58" ht="52" customHeight="1">
      <c r="A58" s="65" t="inlineStr">
        <is>
          <t>OPEN_DIFFERENCE</t>
        </is>
      </c>
      <c r="B58" s="85" t="inlineStr">
        <is>
          <t>你认为两种锚定方法之间最明显的区别是什么？</t>
        </is>
      </c>
      <c r="C58" s="85" t="inlineStr">
        <is>
          <t>开放文本</t>
        </is>
      </c>
      <c r="D58" s="211" t="inlineStr">
        <is>
          <t>主题分析</t>
        </is>
      </c>
      <c r="E58" s="12" t="n"/>
      <c r="F58" s="12" t="n"/>
      <c r="G58" s="12" t="n"/>
      <c r="H58" s="12" t="n"/>
      <c r="I58" s="12" t="n"/>
    </row>
    <row r="59" ht="52" customHeight="1">
      <c r="A59" s="65" t="inlineStr">
        <is>
          <t>OPEN_DISTRUST</t>
        </is>
      </c>
      <c r="B59" s="85" t="inlineStr">
        <is>
          <t>在使用附着于真实物体的虚拟内容时，什么现象最容易使你不再信任这个锚点？</t>
        </is>
      </c>
      <c r="C59" s="85" t="inlineStr">
        <is>
          <t>开放文本</t>
        </is>
      </c>
      <c r="D59" s="211" t="inlineStr">
        <is>
          <t>信息量最高的问题</t>
        </is>
      </c>
      <c r="E59" s="12" t="n"/>
      <c r="F59" s="12" t="n"/>
      <c r="G59" s="12" t="n"/>
      <c r="H59" s="12" t="n"/>
      <c r="I59" s="12" t="n"/>
    </row>
    <row r="60" ht="52" customHeight="1">
      <c r="A60" s="66" t="inlineStr">
        <is>
          <t>END_DISCOMFORT</t>
        </is>
      </c>
      <c r="B60" s="86" t="inlineStr">
        <is>
          <t>与实验开始前相比，你目前是否感到额外的不适？</t>
        </is>
      </c>
      <c r="C60" s="86" t="inlineStr">
        <is>
          <t>无 / 轻微 / 中等 / 明显 / 因不适中止</t>
        </is>
      </c>
      <c r="D60" s="212" t="inlineStr">
        <is>
          <t>仅安全监测与退出审计，不作因变量</t>
        </is>
      </c>
      <c r="E60" s="12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>
      <c r="A62" s="11" t="inlineStr">
        <is>
          <t>E. 量尺锚点定义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</row>
    <row r="63" ht="30" customHeight="1">
      <c r="A63" s="121" t="inlineStr">
        <is>
          <t>agreement_7</t>
        </is>
      </c>
      <c r="B63" t="inlineStr">
        <is>
          <t>七点同意度：1 完全不同意 … 7 完全同意</t>
        </is>
      </c>
      <c r="C63" t="inlineStr">
        <is>
          <t>区块级全部条目</t>
        </is>
      </c>
    </row>
    <row r="64" ht="42" customHeight="1">
      <c r="A64" s="64" t="inlineStr">
        <is>
          <t>agreement_5</t>
        </is>
      </c>
      <c r="B64" s="226" t="inlineStr">
        <is>
          <t>五点同意度：1 Strongly disagree / 2 Rather disagree / 3 Neither / 4 Rather agree / 5 Strongly agree；允许无法回答（记缺失）</t>
        </is>
      </c>
      <c r="C64" s="227" t="inlineStr">
        <is>
          <t>TiA 10 项</t>
        </is>
      </c>
      <c r="D64" s="12" t="n"/>
      <c r="E64" s="12" t="n"/>
      <c r="F64" s="12" t="n"/>
      <c r="G64" s="12" t="n"/>
      <c r="H64" s="12" t="n"/>
      <c r="I64" s="12" t="n"/>
    </row>
    <row r="65" ht="42" customHeight="1">
      <c r="A65" s="65" t="inlineStr">
        <is>
          <t>intensity_7</t>
        </is>
      </c>
      <c r="B65" s="80" t="inlineStr">
        <is>
          <t>七点程度尺：1 Not at all（完全没有）… 7 Extremely（非常强烈）</t>
        </is>
      </c>
      <c r="C65" s="228" t="inlineStr">
        <is>
          <t>S-TIAS 3 项</t>
        </is>
      </c>
      <c r="D65" s="12" t="n"/>
      <c r="E65" s="12" t="n"/>
      <c r="F65" s="12" t="n"/>
      <c r="G65" s="12" t="n"/>
      <c r="H65" s="12" t="n"/>
      <c r="I65" s="12" t="n"/>
    </row>
    <row r="66" ht="42" customHeight="1">
      <c r="A66" s="65" t="inlineStr">
        <is>
          <t>choice_3</t>
        </is>
      </c>
      <c r="B66" s="80" t="inlineStr">
        <is>
          <t>方法A / 方法B / 无明显偏好</t>
        </is>
      </c>
      <c r="C66" s="228" t="inlineStr">
        <is>
          <t>两项强制选择</t>
        </is>
      </c>
      <c r="D66" s="12" t="n"/>
      <c r="E66" s="12" t="n"/>
      <c r="F66" s="12" t="n"/>
      <c r="G66" s="12" t="n"/>
      <c r="H66" s="12" t="n"/>
      <c r="I66" s="12" t="n"/>
    </row>
    <row r="67" ht="42" customHeight="1">
      <c r="A67" s="65" t="inlineStr">
        <is>
          <t>strength_7</t>
        </is>
      </c>
      <c r="B67" s="80" t="inlineStr">
        <is>
          <t>1 只有非常轻微的偏好 … 7 非常明确的偏好（未选方法者 NA）</t>
        </is>
      </c>
      <c r="C67" s="228" t="inlineStr">
        <is>
          <t>偏好强度</t>
        </is>
      </c>
      <c r="D67" s="12" t="n"/>
      <c r="E67" s="12" t="n"/>
      <c r="F67" s="12" t="n"/>
      <c r="G67" s="12" t="n"/>
      <c r="H67" s="12" t="n"/>
      <c r="I67" s="12" t="n"/>
    </row>
    <row r="68" ht="42" customHeight="1">
      <c r="A68" s="65" t="inlineStr">
        <is>
          <t>confidence_7</t>
        </is>
      </c>
      <c r="B68" s="80" t="inlineStr">
        <is>
          <t>1 完全没有信心 … 7 非常有信心</t>
        </is>
      </c>
      <c r="C68" s="228" t="inlineStr">
        <is>
          <t>区分信心</t>
        </is>
      </c>
      <c r="D68" s="12" t="n"/>
      <c r="E68" s="12" t="n"/>
      <c r="F68" s="12" t="n"/>
      <c r="G68" s="12" t="n"/>
      <c r="H68" s="12" t="n"/>
      <c r="I68" s="12" t="n"/>
    </row>
    <row r="69" ht="42" customHeight="1">
      <c r="A69" s="66" t="inlineStr">
        <is>
          <t>discomfort_5</t>
        </is>
      </c>
      <c r="B69" s="229" t="inlineStr">
        <is>
          <t>无 / 轻微 / 中等 / 明显 / 因不适中止</t>
        </is>
      </c>
      <c r="C69" s="230" t="inlineStr">
        <is>
          <t>安全检查</t>
        </is>
      </c>
      <c r="D69" s="12" t="n"/>
      <c r="E69" s="12" t="n"/>
      <c r="F69" s="12" t="n"/>
      <c r="G69" s="12" t="n"/>
      <c r="H69" s="12" t="n"/>
      <c r="I69" s="12" t="n"/>
    </row>
  </sheetData>
  <mergeCells count="8">
    <mergeCell ref="A52:I52"/>
    <mergeCell ref="A2:I2"/>
    <mergeCell ref="A13:I13"/>
    <mergeCell ref="A44:I44"/>
    <mergeCell ref="A1:I1"/>
    <mergeCell ref="A45:I45"/>
    <mergeCell ref="A31:I31"/>
    <mergeCell ref="A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0" customWidth="1" min="4" max="4"/>
    <col width="15" customWidth="1" min="5" max="5"/>
    <col width="15" customWidth="1" min="6" max="6"/>
    <col width="15" customWidth="1" min="7" max="7"/>
    <col width="22" customWidth="1" min="8" max="8"/>
    <col width="18" customWidth="1" min="9" max="9"/>
    <col width="18" customWidth="1" min="10" max="10"/>
    <col width="18" customWidth="1" min="11" max="11"/>
    <col width="9" customWidth="1" min="12" max="12"/>
    <col width="15" customWidth="1" min="13" max="13"/>
    <col width="14" customWidth="1" min="14" max="14"/>
    <col width="16" customWidth="1" min="15" max="15"/>
    <col width="20" customWidth="1" min="16" max="16"/>
    <col width="22" customWidth="1" min="17" max="17"/>
    <col width="13" customWidth="1" min="18" max="18"/>
    <col width="15" customWidth="1" min="19" max="19"/>
    <col width="20" customWidth="1" min="20" max="20"/>
    <col width="20" customWidth="1" min="21" max="21"/>
    <col width="14" customWidth="1" min="22" max="22"/>
    <col width="22" customWidth="1" min="23" max="23"/>
    <col width="34" customWidth="1" min="24" max="24"/>
  </cols>
  <sheetData>
    <row r="1" ht="32" customHeight="1">
      <c r="A1" s="26" t="inlineStr">
        <is>
          <t>参与者信息与 24 平衡单元（预设列勿改；空列人工填写；方法映射两列仅实验员可见）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2" customHeight="1">
      <c r="A2" s="38" t="inlineStr">
        <is>
          <t>Participant_ID</t>
        </is>
      </c>
      <c r="B2" s="39" t="inlineStr">
        <is>
          <t>平衡单元</t>
        </is>
      </c>
      <c r="C2" s="39" t="inlineStr">
        <is>
          <t>物体排列ID</t>
        </is>
      </c>
      <c r="D2" s="39" t="inlineStr">
        <is>
          <t>标签序列</t>
        </is>
      </c>
      <c r="E2" s="39" t="inlineStr">
        <is>
          <t>物体1</t>
        </is>
      </c>
      <c r="F2" s="39" t="inlineStr">
        <is>
          <t>物体2</t>
        </is>
      </c>
      <c r="G2" s="39" t="inlineStr">
        <is>
          <t>物体3</t>
        </is>
      </c>
      <c r="H2" s="39" t="inlineStr">
        <is>
          <t>区块内标签顺序</t>
        </is>
      </c>
      <c r="I2" s="39" t="inlineStr">
        <is>
          <t>方法A=（保密）</t>
        </is>
      </c>
      <c r="J2" s="39" t="inlineStr">
        <is>
          <t>方法B=（保密）</t>
        </is>
      </c>
      <c r="K2" s="39" t="inlineStr">
        <is>
          <t>先行实际方法</t>
        </is>
      </c>
      <c r="L2" s="39" t="inlineStr">
        <is>
          <t>B1_年龄</t>
        </is>
      </c>
      <c r="M2" s="39" t="inlineStr">
        <is>
          <t>B2_性别</t>
        </is>
      </c>
      <c r="N2" s="39" t="inlineStr">
        <is>
          <t>B3_主手</t>
        </is>
      </c>
      <c r="O2" s="39" t="inlineStr">
        <is>
          <t>B4_视力</t>
        </is>
      </c>
      <c r="P2" s="39" t="inlineStr">
        <is>
          <t>B5_VR/MR经验</t>
        </is>
      </c>
      <c r="Q2" s="39" t="inlineStr">
        <is>
          <t>B6_实物MR经验</t>
        </is>
      </c>
      <c r="R2" s="39" t="inlineStr">
        <is>
          <t>签署同意</t>
        </is>
      </c>
      <c r="S2" s="39" t="inlineStr">
        <is>
          <t>基线不适</t>
        </is>
      </c>
      <c r="T2" s="39" t="inlineStr">
        <is>
          <t>开始时间</t>
        </is>
      </c>
      <c r="U2" s="39" t="inlineStr">
        <is>
          <t>结束时间</t>
        </is>
      </c>
      <c r="V2" s="39" t="inlineStr">
        <is>
          <t>纳入分析</t>
        </is>
      </c>
      <c r="W2" s="39" t="inlineStr">
        <is>
          <t>退出/技术问题</t>
        </is>
      </c>
      <c r="X2" s="40" t="inlineStr">
        <is>
          <t>备注</t>
        </is>
      </c>
    </row>
    <row r="3" ht="27" customHeight="1">
      <c r="A3" s="64" t="inlineStr">
        <is>
          <t>P001</t>
        </is>
      </c>
      <c r="B3" s="90" t="inlineStr">
        <is>
          <t>O1-S1-EA</t>
        </is>
      </c>
      <c r="C3" s="90" t="n">
        <v>1</v>
      </c>
      <c r="D3" s="90" t="inlineStr">
        <is>
          <t>S1</t>
        </is>
      </c>
      <c r="E3" s="90" t="inlineStr">
        <is>
          <t>鼠标</t>
        </is>
      </c>
      <c r="F3" s="90" t="inlineStr">
        <is>
          <t>固定订书机</t>
        </is>
      </c>
      <c r="G3" s="90" t="inlineStr">
        <is>
          <t>游戏手柄</t>
        </is>
      </c>
      <c r="H3" s="90" t="inlineStr">
        <is>
          <t>A-B / B-A / A-B</t>
        </is>
      </c>
      <c r="I3" s="250" t="inlineStr">
        <is>
          <t>EgoAnchor</t>
        </is>
      </c>
      <c r="J3" s="251" t="inlineStr">
        <is>
          <t>One-Euro</t>
        </is>
      </c>
      <c r="K3" s="90" t="inlineStr">
        <is>
          <t>EgoAnchor</t>
        </is>
      </c>
      <c r="L3" s="84" t="n"/>
      <c r="M3" s="84" t="n"/>
      <c r="N3" s="84" t="n"/>
      <c r="O3" s="84" t="n"/>
      <c r="P3" s="84" t="n"/>
      <c r="Q3" s="84" t="n"/>
      <c r="R3" s="84" t="n"/>
      <c r="S3" s="84" t="n"/>
      <c r="T3" s="324" t="n"/>
      <c r="U3" s="324" t="n"/>
      <c r="V3" s="84" t="n"/>
      <c r="W3" s="84" t="n"/>
      <c r="X3" s="210" t="n"/>
    </row>
    <row r="4" ht="27" customHeight="1">
      <c r="A4" s="65" t="inlineStr">
        <is>
          <t>P002</t>
        </is>
      </c>
      <c r="B4" s="96" t="inlineStr">
        <is>
          <t>O1-S2-EA</t>
        </is>
      </c>
      <c r="C4" s="96" t="n">
        <v>1</v>
      </c>
      <c r="D4" s="96" t="inlineStr">
        <is>
          <t>S2</t>
        </is>
      </c>
      <c r="E4" s="96" t="inlineStr">
        <is>
          <t>鼠标</t>
        </is>
      </c>
      <c r="F4" s="96" t="inlineStr">
        <is>
          <t>固定订书机</t>
        </is>
      </c>
      <c r="G4" s="96" t="inlineStr">
        <is>
          <t>游戏手柄</t>
        </is>
      </c>
      <c r="H4" s="96" t="inlineStr">
        <is>
          <t>B-A / A-B / B-A</t>
        </is>
      </c>
      <c r="I4" s="152" t="inlineStr">
        <is>
          <t>EgoAnchor</t>
        </is>
      </c>
      <c r="J4" s="153" t="inlineStr">
        <is>
          <t>One-Euro</t>
        </is>
      </c>
      <c r="K4" s="96" t="inlineStr">
        <is>
          <t>One-Euro</t>
        </is>
      </c>
      <c r="L4" s="85" t="n"/>
      <c r="M4" s="85" t="n"/>
      <c r="N4" s="85" t="n"/>
      <c r="O4" s="85" t="n"/>
      <c r="P4" s="85" t="n"/>
      <c r="Q4" s="85" t="n"/>
      <c r="R4" s="85" t="n"/>
      <c r="S4" s="85" t="n"/>
      <c r="T4" s="325" t="n"/>
      <c r="U4" s="325" t="n"/>
      <c r="V4" s="85" t="n"/>
      <c r="W4" s="85" t="n"/>
      <c r="X4" s="211" t="n"/>
    </row>
    <row r="5" ht="27" customHeight="1">
      <c r="A5" s="65" t="inlineStr">
        <is>
          <t>P003</t>
        </is>
      </c>
      <c r="B5" s="96" t="inlineStr">
        <is>
          <t>O1-S2-OE</t>
        </is>
      </c>
      <c r="C5" s="96" t="n">
        <v>1</v>
      </c>
      <c r="D5" s="96" t="inlineStr">
        <is>
          <t>S2</t>
        </is>
      </c>
      <c r="E5" s="96" t="inlineStr">
        <is>
          <t>鼠标</t>
        </is>
      </c>
      <c r="F5" s="96" t="inlineStr">
        <is>
          <t>固定订书机</t>
        </is>
      </c>
      <c r="G5" s="96" t="inlineStr">
        <is>
          <t>游戏手柄</t>
        </is>
      </c>
      <c r="H5" s="96" t="inlineStr">
        <is>
          <t>B-A / A-B / B-A</t>
        </is>
      </c>
      <c r="I5" s="152" t="inlineStr">
        <is>
          <t>One-Euro</t>
        </is>
      </c>
      <c r="J5" s="153" t="inlineStr">
        <is>
          <t>EgoAnchor</t>
        </is>
      </c>
      <c r="K5" s="96" t="inlineStr">
        <is>
          <t>EgoAnchor</t>
        </is>
      </c>
      <c r="L5" s="85" t="n"/>
      <c r="M5" s="85" t="n"/>
      <c r="N5" s="85" t="n"/>
      <c r="O5" s="85" t="n"/>
      <c r="P5" s="85" t="n"/>
      <c r="Q5" s="85" t="n"/>
      <c r="R5" s="85" t="n"/>
      <c r="S5" s="85" t="n"/>
      <c r="T5" s="325" t="n"/>
      <c r="U5" s="325" t="n"/>
      <c r="V5" s="85" t="n"/>
      <c r="W5" s="85" t="n"/>
      <c r="X5" s="211" t="n"/>
    </row>
    <row r="6" ht="27" customHeight="1">
      <c r="A6" s="262" t="inlineStr">
        <is>
          <t>P004</t>
        </is>
      </c>
      <c r="B6" s="263" t="inlineStr">
        <is>
          <t>O1-S1-OE</t>
        </is>
      </c>
      <c r="C6" s="263" t="n">
        <v>1</v>
      </c>
      <c r="D6" s="263" t="inlineStr">
        <is>
          <t>S1</t>
        </is>
      </c>
      <c r="E6" s="263" t="inlineStr">
        <is>
          <t>鼠标</t>
        </is>
      </c>
      <c r="F6" s="263" t="inlineStr">
        <is>
          <t>固定订书机</t>
        </is>
      </c>
      <c r="G6" s="263" t="inlineStr">
        <is>
          <t>游戏手柄</t>
        </is>
      </c>
      <c r="H6" s="263" t="inlineStr">
        <is>
          <t>A-B / B-A / A-B</t>
        </is>
      </c>
      <c r="I6" s="264" t="inlineStr">
        <is>
          <t>One-Euro</t>
        </is>
      </c>
      <c r="J6" s="265" t="inlineStr">
        <is>
          <t>EgoAnchor</t>
        </is>
      </c>
      <c r="K6" s="263" t="inlineStr">
        <is>
          <t>One-Euro</t>
        </is>
      </c>
      <c r="L6" s="266" t="n"/>
      <c r="M6" s="266" t="n"/>
      <c r="N6" s="266" t="n"/>
      <c r="O6" s="266" t="n"/>
      <c r="P6" s="266" t="n"/>
      <c r="Q6" s="266" t="n"/>
      <c r="R6" s="266" t="n"/>
      <c r="S6" s="266" t="n"/>
      <c r="T6" s="326" t="n"/>
      <c r="U6" s="326" t="n"/>
      <c r="V6" s="266" t="n"/>
      <c r="W6" s="266" t="n"/>
      <c r="X6" s="266" t="n"/>
    </row>
    <row r="7" ht="27" customHeight="1">
      <c r="A7" s="65" t="inlineStr">
        <is>
          <t>P005</t>
        </is>
      </c>
      <c r="B7" s="96" t="inlineStr">
        <is>
          <t>O2-S1-EA</t>
        </is>
      </c>
      <c r="C7" s="96" t="n">
        <v>2</v>
      </c>
      <c r="D7" s="96" t="inlineStr">
        <is>
          <t>S1</t>
        </is>
      </c>
      <c r="E7" s="96" t="inlineStr">
        <is>
          <t>鼠标</t>
        </is>
      </c>
      <c r="F7" s="96" t="inlineStr">
        <is>
          <t>游戏手柄</t>
        </is>
      </c>
      <c r="G7" s="96" t="inlineStr">
        <is>
          <t>固定订书机</t>
        </is>
      </c>
      <c r="H7" s="96" t="inlineStr">
        <is>
          <t>A-B / B-A / A-B</t>
        </is>
      </c>
      <c r="I7" s="152" t="inlineStr">
        <is>
          <t>EgoAnchor</t>
        </is>
      </c>
      <c r="J7" s="153" t="inlineStr">
        <is>
          <t>One-Euro</t>
        </is>
      </c>
      <c r="K7" s="96" t="inlineStr">
        <is>
          <t>EgoAnchor</t>
        </is>
      </c>
      <c r="L7" s="85" t="n"/>
      <c r="M7" s="85" t="n"/>
      <c r="N7" s="85" t="n"/>
      <c r="O7" s="85" t="n"/>
      <c r="P7" s="85" t="n"/>
      <c r="Q7" s="85" t="n"/>
      <c r="R7" s="85" t="n"/>
      <c r="S7" s="85" t="n"/>
      <c r="T7" s="325" t="n"/>
      <c r="U7" s="325" t="n"/>
      <c r="V7" s="85" t="n"/>
      <c r="W7" s="85" t="n"/>
      <c r="X7" s="211" t="n"/>
    </row>
    <row r="8" ht="27" customHeight="1">
      <c r="A8" s="65" t="inlineStr">
        <is>
          <t>P006</t>
        </is>
      </c>
      <c r="B8" s="96" t="inlineStr">
        <is>
          <t>O2-S2-EA</t>
        </is>
      </c>
      <c r="C8" s="96" t="n">
        <v>2</v>
      </c>
      <c r="D8" s="96" t="inlineStr">
        <is>
          <t>S2</t>
        </is>
      </c>
      <c r="E8" s="96" t="inlineStr">
        <is>
          <t>鼠标</t>
        </is>
      </c>
      <c r="F8" s="96" t="inlineStr">
        <is>
          <t>游戏手柄</t>
        </is>
      </c>
      <c r="G8" s="96" t="inlineStr">
        <is>
          <t>固定订书机</t>
        </is>
      </c>
      <c r="H8" s="96" t="inlineStr">
        <is>
          <t>B-A / A-B / B-A</t>
        </is>
      </c>
      <c r="I8" s="152" t="inlineStr">
        <is>
          <t>EgoAnchor</t>
        </is>
      </c>
      <c r="J8" s="153" t="inlineStr">
        <is>
          <t>One-Euro</t>
        </is>
      </c>
      <c r="K8" s="96" t="inlineStr">
        <is>
          <t>One-Euro</t>
        </is>
      </c>
      <c r="L8" s="85" t="n"/>
      <c r="M8" s="85" t="n"/>
      <c r="N8" s="85" t="n"/>
      <c r="O8" s="85" t="n"/>
      <c r="P8" s="85" t="n"/>
      <c r="Q8" s="85" t="n"/>
      <c r="R8" s="85" t="n"/>
      <c r="S8" s="85" t="n"/>
      <c r="T8" s="325" t="n"/>
      <c r="U8" s="325" t="n"/>
      <c r="V8" s="85" t="n"/>
      <c r="W8" s="85" t="n"/>
      <c r="X8" s="211" t="n"/>
    </row>
    <row r="9" ht="27" customHeight="1">
      <c r="A9" s="65" t="inlineStr">
        <is>
          <t>P007</t>
        </is>
      </c>
      <c r="B9" s="96" t="inlineStr">
        <is>
          <t>O2-S2-OE</t>
        </is>
      </c>
      <c r="C9" s="96" t="n">
        <v>2</v>
      </c>
      <c r="D9" s="96" t="inlineStr">
        <is>
          <t>S2</t>
        </is>
      </c>
      <c r="E9" s="96" t="inlineStr">
        <is>
          <t>鼠标</t>
        </is>
      </c>
      <c r="F9" s="96" t="inlineStr">
        <is>
          <t>游戏手柄</t>
        </is>
      </c>
      <c r="G9" s="96" t="inlineStr">
        <is>
          <t>固定订书机</t>
        </is>
      </c>
      <c r="H9" s="96" t="inlineStr">
        <is>
          <t>B-A / A-B / B-A</t>
        </is>
      </c>
      <c r="I9" s="152" t="inlineStr">
        <is>
          <t>One-Euro</t>
        </is>
      </c>
      <c r="J9" s="153" t="inlineStr">
        <is>
          <t>EgoAnchor</t>
        </is>
      </c>
      <c r="K9" s="96" t="inlineStr">
        <is>
          <t>EgoAnchor</t>
        </is>
      </c>
      <c r="L9" s="85" t="n"/>
      <c r="M9" s="85" t="n"/>
      <c r="N9" s="85" t="n"/>
      <c r="O9" s="85" t="n"/>
      <c r="P9" s="85" t="n"/>
      <c r="Q9" s="85" t="n"/>
      <c r="R9" s="85" t="n"/>
      <c r="S9" s="85" t="n"/>
      <c r="T9" s="325" t="n"/>
      <c r="U9" s="325" t="n"/>
      <c r="V9" s="85" t="n"/>
      <c r="W9" s="85" t="n"/>
      <c r="X9" s="211" t="n"/>
    </row>
    <row r="10" ht="27" customHeight="1">
      <c r="A10" s="262" t="inlineStr">
        <is>
          <t>P008</t>
        </is>
      </c>
      <c r="B10" s="263" t="inlineStr">
        <is>
          <t>O2-S1-OE</t>
        </is>
      </c>
      <c r="C10" s="263" t="n">
        <v>2</v>
      </c>
      <c r="D10" s="263" t="inlineStr">
        <is>
          <t>S1</t>
        </is>
      </c>
      <c r="E10" s="263" t="inlineStr">
        <is>
          <t>鼠标</t>
        </is>
      </c>
      <c r="F10" s="263" t="inlineStr">
        <is>
          <t>游戏手柄</t>
        </is>
      </c>
      <c r="G10" s="263" t="inlineStr">
        <is>
          <t>固定订书机</t>
        </is>
      </c>
      <c r="H10" s="263" t="inlineStr">
        <is>
          <t>A-B / B-A / A-B</t>
        </is>
      </c>
      <c r="I10" s="264" t="inlineStr">
        <is>
          <t>One-Euro</t>
        </is>
      </c>
      <c r="J10" s="265" t="inlineStr">
        <is>
          <t>EgoAnchor</t>
        </is>
      </c>
      <c r="K10" s="263" t="inlineStr">
        <is>
          <t>One-Euro</t>
        </is>
      </c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326" t="n"/>
      <c r="U10" s="326" t="n"/>
      <c r="V10" s="266" t="n"/>
      <c r="W10" s="266" t="n"/>
      <c r="X10" s="266" t="n"/>
    </row>
    <row r="11" ht="27" customHeight="1">
      <c r="A11" s="65" t="inlineStr">
        <is>
          <t>P009</t>
        </is>
      </c>
      <c r="B11" s="96" t="inlineStr">
        <is>
          <t>O3-S1-EA</t>
        </is>
      </c>
      <c r="C11" s="96" t="n">
        <v>3</v>
      </c>
      <c r="D11" s="96" t="inlineStr">
        <is>
          <t>S1</t>
        </is>
      </c>
      <c r="E11" s="96" t="inlineStr">
        <is>
          <t>固定订书机</t>
        </is>
      </c>
      <c r="F11" s="96" t="inlineStr">
        <is>
          <t>鼠标</t>
        </is>
      </c>
      <c r="G11" s="96" t="inlineStr">
        <is>
          <t>游戏手柄</t>
        </is>
      </c>
      <c r="H11" s="96" t="inlineStr">
        <is>
          <t>A-B / B-A / A-B</t>
        </is>
      </c>
      <c r="I11" s="152" t="inlineStr">
        <is>
          <t>EgoAnchor</t>
        </is>
      </c>
      <c r="J11" s="153" t="inlineStr">
        <is>
          <t>One-Euro</t>
        </is>
      </c>
      <c r="K11" s="96" t="inlineStr">
        <is>
          <t>EgoAnchor</t>
        </is>
      </c>
      <c r="L11" s="85" t="n"/>
      <c r="M11" s="85" t="n"/>
      <c r="N11" s="85" t="n"/>
      <c r="O11" s="85" t="n"/>
      <c r="P11" s="85" t="n"/>
      <c r="Q11" s="85" t="n"/>
      <c r="R11" s="85" t="n"/>
      <c r="S11" s="85" t="n"/>
      <c r="T11" s="325" t="n"/>
      <c r="U11" s="325" t="n"/>
      <c r="V11" s="85" t="n"/>
      <c r="W11" s="85" t="n"/>
      <c r="X11" s="211" t="n"/>
    </row>
    <row r="12" ht="27" customHeight="1">
      <c r="A12" s="65" t="inlineStr">
        <is>
          <t>P010</t>
        </is>
      </c>
      <c r="B12" s="96" t="inlineStr">
        <is>
          <t>O3-S2-EA</t>
        </is>
      </c>
      <c r="C12" s="96" t="n">
        <v>3</v>
      </c>
      <c r="D12" s="96" t="inlineStr">
        <is>
          <t>S2</t>
        </is>
      </c>
      <c r="E12" s="96" t="inlineStr">
        <is>
          <t>固定订书机</t>
        </is>
      </c>
      <c r="F12" s="96" t="inlineStr">
        <is>
          <t>鼠标</t>
        </is>
      </c>
      <c r="G12" s="96" t="inlineStr">
        <is>
          <t>游戏手柄</t>
        </is>
      </c>
      <c r="H12" s="96" t="inlineStr">
        <is>
          <t>B-A / A-B / B-A</t>
        </is>
      </c>
      <c r="I12" s="152" t="inlineStr">
        <is>
          <t>EgoAnchor</t>
        </is>
      </c>
      <c r="J12" s="153" t="inlineStr">
        <is>
          <t>One-Euro</t>
        </is>
      </c>
      <c r="K12" s="96" t="inlineStr">
        <is>
          <t>One-Euro</t>
        </is>
      </c>
      <c r="L12" s="85" t="n"/>
      <c r="M12" s="85" t="n"/>
      <c r="N12" s="85" t="n"/>
      <c r="O12" s="85" t="n"/>
      <c r="P12" s="85" t="n"/>
      <c r="Q12" s="85" t="n"/>
      <c r="R12" s="85" t="n"/>
      <c r="S12" s="85" t="n"/>
      <c r="T12" s="325" t="n"/>
      <c r="U12" s="325" t="n"/>
      <c r="V12" s="85" t="n"/>
      <c r="W12" s="85" t="n"/>
      <c r="X12" s="211" t="n"/>
    </row>
    <row r="13" ht="27" customHeight="1">
      <c r="A13" s="65" t="inlineStr">
        <is>
          <t>P011</t>
        </is>
      </c>
      <c r="B13" s="96" t="inlineStr">
        <is>
          <t>O3-S2-OE</t>
        </is>
      </c>
      <c r="C13" s="96" t="n">
        <v>3</v>
      </c>
      <c r="D13" s="96" t="inlineStr">
        <is>
          <t>S2</t>
        </is>
      </c>
      <c r="E13" s="96" t="inlineStr">
        <is>
          <t>固定订书机</t>
        </is>
      </c>
      <c r="F13" s="96" t="inlineStr">
        <is>
          <t>鼠标</t>
        </is>
      </c>
      <c r="G13" s="96" t="inlineStr">
        <is>
          <t>游戏手柄</t>
        </is>
      </c>
      <c r="H13" s="96" t="inlineStr">
        <is>
          <t>B-A / A-B / B-A</t>
        </is>
      </c>
      <c r="I13" s="152" t="inlineStr">
        <is>
          <t>One-Euro</t>
        </is>
      </c>
      <c r="J13" s="153" t="inlineStr">
        <is>
          <t>EgoAnchor</t>
        </is>
      </c>
      <c r="K13" s="96" t="inlineStr">
        <is>
          <t>EgoAnchor</t>
        </is>
      </c>
      <c r="L13" s="85" t="n"/>
      <c r="M13" s="85" t="n"/>
      <c r="N13" s="85" t="n"/>
      <c r="O13" s="85" t="n"/>
      <c r="P13" s="85" t="n"/>
      <c r="Q13" s="85" t="n"/>
      <c r="R13" s="85" t="n"/>
      <c r="S13" s="85" t="n"/>
      <c r="T13" s="325" t="n"/>
      <c r="U13" s="325" t="n"/>
      <c r="V13" s="85" t="n"/>
      <c r="W13" s="85" t="n"/>
      <c r="X13" s="211" t="n"/>
    </row>
    <row r="14" ht="27" customHeight="1">
      <c r="A14" s="262" t="inlineStr">
        <is>
          <t>P012</t>
        </is>
      </c>
      <c r="B14" s="263" t="inlineStr">
        <is>
          <t>O3-S1-OE</t>
        </is>
      </c>
      <c r="C14" s="263" t="n">
        <v>3</v>
      </c>
      <c r="D14" s="263" t="inlineStr">
        <is>
          <t>S1</t>
        </is>
      </c>
      <c r="E14" s="263" t="inlineStr">
        <is>
          <t>固定订书机</t>
        </is>
      </c>
      <c r="F14" s="263" t="inlineStr">
        <is>
          <t>鼠标</t>
        </is>
      </c>
      <c r="G14" s="263" t="inlineStr">
        <is>
          <t>游戏手柄</t>
        </is>
      </c>
      <c r="H14" s="263" t="inlineStr">
        <is>
          <t>A-B / B-A / A-B</t>
        </is>
      </c>
      <c r="I14" s="264" t="inlineStr">
        <is>
          <t>One-Euro</t>
        </is>
      </c>
      <c r="J14" s="265" t="inlineStr">
        <is>
          <t>EgoAnchor</t>
        </is>
      </c>
      <c r="K14" s="263" t="inlineStr">
        <is>
          <t>One-Euro</t>
        </is>
      </c>
      <c r="L14" s="266" t="n"/>
      <c r="M14" s="266" t="n"/>
      <c r="N14" s="266" t="n"/>
      <c r="O14" s="266" t="n"/>
      <c r="P14" s="266" t="n"/>
      <c r="Q14" s="266" t="n"/>
      <c r="R14" s="266" t="n"/>
      <c r="S14" s="266" t="n"/>
      <c r="T14" s="326" t="n"/>
      <c r="U14" s="326" t="n"/>
      <c r="V14" s="266" t="n"/>
      <c r="W14" s="266" t="n"/>
      <c r="X14" s="266" t="n"/>
    </row>
    <row r="15" ht="27" customHeight="1">
      <c r="A15" s="65" t="inlineStr">
        <is>
          <t>P013</t>
        </is>
      </c>
      <c r="B15" s="96" t="inlineStr">
        <is>
          <t>O4-S1-EA</t>
        </is>
      </c>
      <c r="C15" s="96" t="n">
        <v>4</v>
      </c>
      <c r="D15" s="96" t="inlineStr">
        <is>
          <t>S1</t>
        </is>
      </c>
      <c r="E15" s="96" t="inlineStr">
        <is>
          <t>固定订书机</t>
        </is>
      </c>
      <c r="F15" s="96" t="inlineStr">
        <is>
          <t>游戏手柄</t>
        </is>
      </c>
      <c r="G15" s="96" t="inlineStr">
        <is>
          <t>鼠标</t>
        </is>
      </c>
      <c r="H15" s="96" t="inlineStr">
        <is>
          <t>A-B / B-A / A-B</t>
        </is>
      </c>
      <c r="I15" s="152" t="inlineStr">
        <is>
          <t>EgoAnchor</t>
        </is>
      </c>
      <c r="J15" s="153" t="inlineStr">
        <is>
          <t>One-Euro</t>
        </is>
      </c>
      <c r="K15" s="96" t="inlineStr">
        <is>
          <t>EgoAnchor</t>
        </is>
      </c>
      <c r="L15" s="85" t="n"/>
      <c r="M15" s="85" t="n"/>
      <c r="N15" s="85" t="n"/>
      <c r="O15" s="85" t="n"/>
      <c r="P15" s="85" t="n"/>
      <c r="Q15" s="85" t="n"/>
      <c r="R15" s="85" t="n"/>
      <c r="S15" s="85" t="n"/>
      <c r="T15" s="325" t="n"/>
      <c r="U15" s="325" t="n"/>
      <c r="V15" s="85" t="n"/>
      <c r="W15" s="85" t="n"/>
      <c r="X15" s="211" t="n"/>
    </row>
    <row r="16" ht="27" customHeight="1">
      <c r="A16" s="65" t="inlineStr">
        <is>
          <t>P014</t>
        </is>
      </c>
      <c r="B16" s="96" t="inlineStr">
        <is>
          <t>O4-S2-EA</t>
        </is>
      </c>
      <c r="C16" s="96" t="n">
        <v>4</v>
      </c>
      <c r="D16" s="96" t="inlineStr">
        <is>
          <t>S2</t>
        </is>
      </c>
      <c r="E16" s="96" t="inlineStr">
        <is>
          <t>固定订书机</t>
        </is>
      </c>
      <c r="F16" s="96" t="inlineStr">
        <is>
          <t>游戏手柄</t>
        </is>
      </c>
      <c r="G16" s="96" t="inlineStr">
        <is>
          <t>鼠标</t>
        </is>
      </c>
      <c r="H16" s="96" t="inlineStr">
        <is>
          <t>B-A / A-B / B-A</t>
        </is>
      </c>
      <c r="I16" s="152" t="inlineStr">
        <is>
          <t>EgoAnchor</t>
        </is>
      </c>
      <c r="J16" s="153" t="inlineStr">
        <is>
          <t>One-Euro</t>
        </is>
      </c>
      <c r="K16" s="96" t="inlineStr">
        <is>
          <t>One-Euro</t>
        </is>
      </c>
      <c r="L16" s="85" t="n"/>
      <c r="M16" s="85" t="n"/>
      <c r="N16" s="85" t="n"/>
      <c r="O16" s="85" t="n"/>
      <c r="P16" s="85" t="n"/>
      <c r="Q16" s="85" t="n"/>
      <c r="R16" s="85" t="n"/>
      <c r="S16" s="85" t="n"/>
      <c r="T16" s="325" t="n"/>
      <c r="U16" s="325" t="n"/>
      <c r="V16" s="85" t="n"/>
      <c r="W16" s="85" t="n"/>
      <c r="X16" s="211" t="n"/>
    </row>
    <row r="17" ht="27" customHeight="1">
      <c r="A17" s="65" t="inlineStr">
        <is>
          <t>P015</t>
        </is>
      </c>
      <c r="B17" s="96" t="inlineStr">
        <is>
          <t>O4-S2-OE</t>
        </is>
      </c>
      <c r="C17" s="96" t="n">
        <v>4</v>
      </c>
      <c r="D17" s="96" t="inlineStr">
        <is>
          <t>S2</t>
        </is>
      </c>
      <c r="E17" s="96" t="inlineStr">
        <is>
          <t>固定订书机</t>
        </is>
      </c>
      <c r="F17" s="96" t="inlineStr">
        <is>
          <t>游戏手柄</t>
        </is>
      </c>
      <c r="G17" s="96" t="inlineStr">
        <is>
          <t>鼠标</t>
        </is>
      </c>
      <c r="H17" s="96" t="inlineStr">
        <is>
          <t>B-A / A-B / B-A</t>
        </is>
      </c>
      <c r="I17" s="152" t="inlineStr">
        <is>
          <t>One-Euro</t>
        </is>
      </c>
      <c r="J17" s="153" t="inlineStr">
        <is>
          <t>EgoAnchor</t>
        </is>
      </c>
      <c r="K17" s="96" t="inlineStr">
        <is>
          <t>EgoAnchor</t>
        </is>
      </c>
      <c r="L17" s="85" t="n"/>
      <c r="M17" s="85" t="n"/>
      <c r="N17" s="85" t="n"/>
      <c r="O17" s="85" t="n"/>
      <c r="P17" s="85" t="n"/>
      <c r="Q17" s="85" t="n"/>
      <c r="R17" s="85" t="n"/>
      <c r="S17" s="85" t="n"/>
      <c r="T17" s="325" t="n"/>
      <c r="U17" s="325" t="n"/>
      <c r="V17" s="85" t="n"/>
      <c r="W17" s="85" t="n"/>
      <c r="X17" s="211" t="n"/>
    </row>
    <row r="18" ht="27" customHeight="1">
      <c r="A18" s="262" t="inlineStr">
        <is>
          <t>P016</t>
        </is>
      </c>
      <c r="B18" s="263" t="inlineStr">
        <is>
          <t>O4-S1-OE</t>
        </is>
      </c>
      <c r="C18" s="263" t="n">
        <v>4</v>
      </c>
      <c r="D18" s="263" t="inlineStr">
        <is>
          <t>S1</t>
        </is>
      </c>
      <c r="E18" s="263" t="inlineStr">
        <is>
          <t>固定订书机</t>
        </is>
      </c>
      <c r="F18" s="263" t="inlineStr">
        <is>
          <t>游戏手柄</t>
        </is>
      </c>
      <c r="G18" s="263" t="inlineStr">
        <is>
          <t>鼠标</t>
        </is>
      </c>
      <c r="H18" s="263" t="inlineStr">
        <is>
          <t>A-B / B-A / A-B</t>
        </is>
      </c>
      <c r="I18" s="264" t="inlineStr">
        <is>
          <t>One-Euro</t>
        </is>
      </c>
      <c r="J18" s="265" t="inlineStr">
        <is>
          <t>EgoAnchor</t>
        </is>
      </c>
      <c r="K18" s="263" t="inlineStr">
        <is>
          <t>One-Euro</t>
        </is>
      </c>
      <c r="L18" s="266" t="n"/>
      <c r="M18" s="266" t="n"/>
      <c r="N18" s="266" t="n"/>
      <c r="O18" s="266" t="n"/>
      <c r="P18" s="266" t="n"/>
      <c r="Q18" s="266" t="n"/>
      <c r="R18" s="266" t="n"/>
      <c r="S18" s="266" t="n"/>
      <c r="T18" s="326" t="n"/>
      <c r="U18" s="326" t="n"/>
      <c r="V18" s="266" t="n"/>
      <c r="W18" s="266" t="n"/>
      <c r="X18" s="266" t="n"/>
    </row>
    <row r="19" ht="27" customHeight="1">
      <c r="A19" s="65" t="inlineStr">
        <is>
          <t>P017</t>
        </is>
      </c>
      <c r="B19" s="96" t="inlineStr">
        <is>
          <t>O5-S1-EA</t>
        </is>
      </c>
      <c r="C19" s="96" t="n">
        <v>5</v>
      </c>
      <c r="D19" s="96" t="inlineStr">
        <is>
          <t>S1</t>
        </is>
      </c>
      <c r="E19" s="96" t="inlineStr">
        <is>
          <t>游戏手柄</t>
        </is>
      </c>
      <c r="F19" s="96" t="inlineStr">
        <is>
          <t>鼠标</t>
        </is>
      </c>
      <c r="G19" s="96" t="inlineStr">
        <is>
          <t>固定订书机</t>
        </is>
      </c>
      <c r="H19" s="96" t="inlineStr">
        <is>
          <t>A-B / B-A / A-B</t>
        </is>
      </c>
      <c r="I19" s="152" t="inlineStr">
        <is>
          <t>EgoAnchor</t>
        </is>
      </c>
      <c r="J19" s="153" t="inlineStr">
        <is>
          <t>One-Euro</t>
        </is>
      </c>
      <c r="K19" s="96" t="inlineStr">
        <is>
          <t>EgoAnchor</t>
        </is>
      </c>
      <c r="L19" s="85" t="n"/>
      <c r="M19" s="85" t="n"/>
      <c r="N19" s="85" t="n"/>
      <c r="O19" s="85" t="n"/>
      <c r="P19" s="85" t="n"/>
      <c r="Q19" s="85" t="n"/>
      <c r="R19" s="85" t="n"/>
      <c r="S19" s="85" t="n"/>
      <c r="T19" s="325" t="n"/>
      <c r="U19" s="325" t="n"/>
      <c r="V19" s="85" t="n"/>
      <c r="W19" s="85" t="n"/>
      <c r="X19" s="211" t="n"/>
    </row>
    <row r="20" ht="27" customHeight="1">
      <c r="A20" s="65" t="inlineStr">
        <is>
          <t>P018</t>
        </is>
      </c>
      <c r="B20" s="96" t="inlineStr">
        <is>
          <t>O5-S2-EA</t>
        </is>
      </c>
      <c r="C20" s="96" t="n">
        <v>5</v>
      </c>
      <c r="D20" s="96" t="inlineStr">
        <is>
          <t>S2</t>
        </is>
      </c>
      <c r="E20" s="96" t="inlineStr">
        <is>
          <t>游戏手柄</t>
        </is>
      </c>
      <c r="F20" s="96" t="inlineStr">
        <is>
          <t>鼠标</t>
        </is>
      </c>
      <c r="G20" s="96" t="inlineStr">
        <is>
          <t>固定订书机</t>
        </is>
      </c>
      <c r="H20" s="96" t="inlineStr">
        <is>
          <t>B-A / A-B / B-A</t>
        </is>
      </c>
      <c r="I20" s="152" t="inlineStr">
        <is>
          <t>EgoAnchor</t>
        </is>
      </c>
      <c r="J20" s="153" t="inlineStr">
        <is>
          <t>One-Euro</t>
        </is>
      </c>
      <c r="K20" s="96" t="inlineStr">
        <is>
          <t>One-Euro</t>
        </is>
      </c>
      <c r="L20" s="85" t="n"/>
      <c r="M20" s="85" t="n"/>
      <c r="N20" s="85" t="n"/>
      <c r="O20" s="85" t="n"/>
      <c r="P20" s="85" t="n"/>
      <c r="Q20" s="85" t="n"/>
      <c r="R20" s="85" t="n"/>
      <c r="S20" s="85" t="n"/>
      <c r="T20" s="325" t="n"/>
      <c r="U20" s="325" t="n"/>
      <c r="V20" s="85" t="n"/>
      <c r="W20" s="85" t="n"/>
      <c r="X20" s="211" t="n"/>
    </row>
    <row r="21" ht="27" customHeight="1">
      <c r="A21" s="65" t="inlineStr">
        <is>
          <t>P019</t>
        </is>
      </c>
      <c r="B21" s="96" t="inlineStr">
        <is>
          <t>O5-S2-OE</t>
        </is>
      </c>
      <c r="C21" s="96" t="n">
        <v>5</v>
      </c>
      <c r="D21" s="96" t="inlineStr">
        <is>
          <t>S2</t>
        </is>
      </c>
      <c r="E21" s="96" t="inlineStr">
        <is>
          <t>游戏手柄</t>
        </is>
      </c>
      <c r="F21" s="96" t="inlineStr">
        <is>
          <t>鼠标</t>
        </is>
      </c>
      <c r="G21" s="96" t="inlineStr">
        <is>
          <t>固定订书机</t>
        </is>
      </c>
      <c r="H21" s="96" t="inlineStr">
        <is>
          <t>B-A / A-B / B-A</t>
        </is>
      </c>
      <c r="I21" s="152" t="inlineStr">
        <is>
          <t>One-Euro</t>
        </is>
      </c>
      <c r="J21" s="153" t="inlineStr">
        <is>
          <t>EgoAnchor</t>
        </is>
      </c>
      <c r="K21" s="96" t="inlineStr">
        <is>
          <t>EgoAnchor</t>
        </is>
      </c>
      <c r="L21" s="85" t="n"/>
      <c r="M21" s="85" t="n"/>
      <c r="N21" s="85" t="n"/>
      <c r="O21" s="85" t="n"/>
      <c r="P21" s="85" t="n"/>
      <c r="Q21" s="85" t="n"/>
      <c r="R21" s="85" t="n"/>
      <c r="S21" s="85" t="n"/>
      <c r="T21" s="325" t="n"/>
      <c r="U21" s="325" t="n"/>
      <c r="V21" s="85" t="n"/>
      <c r="W21" s="85" t="n"/>
      <c r="X21" s="211" t="n"/>
    </row>
    <row r="22" ht="27" customHeight="1">
      <c r="A22" s="262" t="inlineStr">
        <is>
          <t>P020</t>
        </is>
      </c>
      <c r="B22" s="263" t="inlineStr">
        <is>
          <t>O5-S1-OE</t>
        </is>
      </c>
      <c r="C22" s="263" t="n">
        <v>5</v>
      </c>
      <c r="D22" s="263" t="inlineStr">
        <is>
          <t>S1</t>
        </is>
      </c>
      <c r="E22" s="263" t="inlineStr">
        <is>
          <t>游戏手柄</t>
        </is>
      </c>
      <c r="F22" s="263" t="inlineStr">
        <is>
          <t>鼠标</t>
        </is>
      </c>
      <c r="G22" s="263" t="inlineStr">
        <is>
          <t>固定订书机</t>
        </is>
      </c>
      <c r="H22" s="263" t="inlineStr">
        <is>
          <t>A-B / B-A / A-B</t>
        </is>
      </c>
      <c r="I22" s="264" t="inlineStr">
        <is>
          <t>One-Euro</t>
        </is>
      </c>
      <c r="J22" s="265" t="inlineStr">
        <is>
          <t>EgoAnchor</t>
        </is>
      </c>
      <c r="K22" s="263" t="inlineStr">
        <is>
          <t>One-Euro</t>
        </is>
      </c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326" t="n"/>
      <c r="U22" s="326" t="n"/>
      <c r="V22" s="266" t="n"/>
      <c r="W22" s="266" t="n"/>
      <c r="X22" s="266" t="n"/>
    </row>
    <row r="23" ht="27" customHeight="1">
      <c r="A23" s="65" t="inlineStr">
        <is>
          <t>P021</t>
        </is>
      </c>
      <c r="B23" s="96" t="inlineStr">
        <is>
          <t>O6-S1-EA</t>
        </is>
      </c>
      <c r="C23" s="96" t="n">
        <v>6</v>
      </c>
      <c r="D23" s="96" t="inlineStr">
        <is>
          <t>S1</t>
        </is>
      </c>
      <c r="E23" s="96" t="inlineStr">
        <is>
          <t>游戏手柄</t>
        </is>
      </c>
      <c r="F23" s="96" t="inlineStr">
        <is>
          <t>固定订书机</t>
        </is>
      </c>
      <c r="G23" s="96" t="inlineStr">
        <is>
          <t>鼠标</t>
        </is>
      </c>
      <c r="H23" s="96" t="inlineStr">
        <is>
          <t>A-B / B-A / A-B</t>
        </is>
      </c>
      <c r="I23" s="152" t="inlineStr">
        <is>
          <t>EgoAnchor</t>
        </is>
      </c>
      <c r="J23" s="153" t="inlineStr">
        <is>
          <t>One-Euro</t>
        </is>
      </c>
      <c r="K23" s="96" t="inlineStr">
        <is>
          <t>EgoAnchor</t>
        </is>
      </c>
      <c r="L23" s="85" t="n"/>
      <c r="M23" s="85" t="n"/>
      <c r="N23" s="85" t="n"/>
      <c r="O23" s="85" t="n"/>
      <c r="P23" s="85" t="n"/>
      <c r="Q23" s="85" t="n"/>
      <c r="R23" s="85" t="n"/>
      <c r="S23" s="85" t="n"/>
      <c r="T23" s="325" t="n"/>
      <c r="U23" s="325" t="n"/>
      <c r="V23" s="85" t="n"/>
      <c r="W23" s="85" t="n"/>
      <c r="X23" s="211" t="n"/>
    </row>
    <row r="24" ht="27" customHeight="1">
      <c r="A24" s="65" t="inlineStr">
        <is>
          <t>P022</t>
        </is>
      </c>
      <c r="B24" s="96" t="inlineStr">
        <is>
          <t>O6-S2-EA</t>
        </is>
      </c>
      <c r="C24" s="96" t="n">
        <v>6</v>
      </c>
      <c r="D24" s="96" t="inlineStr">
        <is>
          <t>S2</t>
        </is>
      </c>
      <c r="E24" s="96" t="inlineStr">
        <is>
          <t>游戏手柄</t>
        </is>
      </c>
      <c r="F24" s="96" t="inlineStr">
        <is>
          <t>固定订书机</t>
        </is>
      </c>
      <c r="G24" s="96" t="inlineStr">
        <is>
          <t>鼠标</t>
        </is>
      </c>
      <c r="H24" s="96" t="inlineStr">
        <is>
          <t>B-A / A-B / B-A</t>
        </is>
      </c>
      <c r="I24" s="152" t="inlineStr">
        <is>
          <t>EgoAnchor</t>
        </is>
      </c>
      <c r="J24" s="153" t="inlineStr">
        <is>
          <t>One-Euro</t>
        </is>
      </c>
      <c r="K24" s="96" t="inlineStr">
        <is>
          <t>One-Euro</t>
        </is>
      </c>
      <c r="L24" s="85" t="n"/>
      <c r="M24" s="85" t="n"/>
      <c r="N24" s="85" t="n"/>
      <c r="O24" s="85" t="n"/>
      <c r="P24" s="85" t="n"/>
      <c r="Q24" s="85" t="n"/>
      <c r="R24" s="85" t="n"/>
      <c r="S24" s="85" t="n"/>
      <c r="T24" s="325" t="n"/>
      <c r="U24" s="325" t="n"/>
      <c r="V24" s="85" t="n"/>
      <c r="W24" s="85" t="n"/>
      <c r="X24" s="211" t="n"/>
    </row>
    <row r="25" ht="27" customHeight="1">
      <c r="A25" s="65" t="inlineStr">
        <is>
          <t>P023</t>
        </is>
      </c>
      <c r="B25" s="96" t="inlineStr">
        <is>
          <t>O6-S2-OE</t>
        </is>
      </c>
      <c r="C25" s="96" t="n">
        <v>6</v>
      </c>
      <c r="D25" s="96" t="inlineStr">
        <is>
          <t>S2</t>
        </is>
      </c>
      <c r="E25" s="96" t="inlineStr">
        <is>
          <t>游戏手柄</t>
        </is>
      </c>
      <c r="F25" s="96" t="inlineStr">
        <is>
          <t>固定订书机</t>
        </is>
      </c>
      <c r="G25" s="96" t="inlineStr">
        <is>
          <t>鼠标</t>
        </is>
      </c>
      <c r="H25" s="96" t="inlineStr">
        <is>
          <t>B-A / A-B / B-A</t>
        </is>
      </c>
      <c r="I25" s="152" t="inlineStr">
        <is>
          <t>One-Euro</t>
        </is>
      </c>
      <c r="J25" s="153" t="inlineStr">
        <is>
          <t>EgoAnchor</t>
        </is>
      </c>
      <c r="K25" s="96" t="inlineStr">
        <is>
          <t>EgoAnchor</t>
        </is>
      </c>
      <c r="L25" s="85" t="n"/>
      <c r="M25" s="85" t="n"/>
      <c r="N25" s="85" t="n"/>
      <c r="O25" s="85" t="n"/>
      <c r="P25" s="85" t="n"/>
      <c r="Q25" s="85" t="n"/>
      <c r="R25" s="85" t="n"/>
      <c r="S25" s="85" t="n"/>
      <c r="T25" s="325" t="n"/>
      <c r="U25" s="325" t="n"/>
      <c r="V25" s="85" t="n"/>
      <c r="W25" s="85" t="n"/>
      <c r="X25" s="211" t="n"/>
    </row>
    <row r="26" ht="27" customHeight="1">
      <c r="A26" s="262" t="inlineStr">
        <is>
          <t>P024</t>
        </is>
      </c>
      <c r="B26" s="263" t="inlineStr">
        <is>
          <t>O6-S1-OE</t>
        </is>
      </c>
      <c r="C26" s="263" t="n">
        <v>6</v>
      </c>
      <c r="D26" s="263" t="inlineStr">
        <is>
          <t>S1</t>
        </is>
      </c>
      <c r="E26" s="263" t="inlineStr">
        <is>
          <t>游戏手柄</t>
        </is>
      </c>
      <c r="F26" s="263" t="inlineStr">
        <is>
          <t>固定订书机</t>
        </is>
      </c>
      <c r="G26" s="263" t="inlineStr">
        <is>
          <t>鼠标</t>
        </is>
      </c>
      <c r="H26" s="263" t="inlineStr">
        <is>
          <t>A-B / B-A / A-B</t>
        </is>
      </c>
      <c r="I26" s="264" t="inlineStr">
        <is>
          <t>One-Euro</t>
        </is>
      </c>
      <c r="J26" s="265" t="inlineStr">
        <is>
          <t>EgoAnchor</t>
        </is>
      </c>
      <c r="K26" s="263" t="inlineStr">
        <is>
          <t>One-Euro</t>
        </is>
      </c>
      <c r="L26" s="266" t="n"/>
      <c r="M26" s="266" t="n"/>
      <c r="N26" s="266" t="n"/>
      <c r="O26" s="266" t="n"/>
      <c r="P26" s="266" t="n"/>
      <c r="Q26" s="266" t="n"/>
      <c r="R26" s="266" t="n"/>
      <c r="S26" s="266" t="n"/>
      <c r="T26" s="326" t="n"/>
      <c r="U26" s="326" t="n"/>
      <c r="V26" s="266" t="n"/>
      <c r="W26" s="266" t="n"/>
      <c r="X26" s="266" t="n"/>
    </row>
  </sheetData>
  <mergeCells count="1">
    <mergeCell ref="A1:X1"/>
  </mergeCells>
  <dataValidations count="10">
    <dataValidation sqref="L3:L26" showDropDown="0" showInputMessage="0" showErrorMessage="1" allowBlank="1" errorTitle="评分范围错误" error="请输入 1–120 的整数，或留空" type="whole" operator="between">
      <formula1>1</formula1>
      <formula2>120</formula2>
    </dataValidation>
    <dataValidation sqref="M3:M26" showDropDown="0" showInputMessage="0" showErrorMessage="1" allowBlank="1" errorTitle="选项错误" error="请从下拉列表中选择" type="list">
      <formula1>"女,男,非二元或其他,不愿透露"</formula1>
    </dataValidation>
    <dataValidation sqref="N3:N26" showDropDown="0" showInputMessage="0" showErrorMessage="1" allowBlank="1" errorTitle="选项错误" error="请从下拉列表中选择" type="list">
      <formula1>"右手,左手,双手均可"</formula1>
    </dataValidation>
    <dataValidation sqref="O3:O26" showDropDown="0" showInputMessage="0" showErrorMessage="1" allowBlank="1" errorTitle="选项错误" error="请从下拉列表中选择" type="list">
      <formula1>"正常,矫正后正常,其他"</formula1>
    </dataValidation>
    <dataValidation sqref="P3:P26" showDropDown="0" showInputMessage="0" showErrorMessage="1" allowBlank="1" errorTitle="选项错误" error="请从下拉列表中选择" type="list">
      <formula1>"从未,1–5 次,6–20 次,超过 20 次,经常使用"</formula1>
    </dataValidation>
    <dataValidation sqref="Q3:Q26" showDropDown="0" showInputMessage="0" showErrorMessage="1" allowBlank="1" errorTitle="选项错误" error="请从下拉列表中选择" type="list">
      <formula1>"从未,1–2 次,数次,经常"</formula1>
    </dataValidation>
    <dataValidation sqref="R3:R26" showDropDown="0" showInputMessage="0" showErrorMessage="1" allowBlank="1" errorTitle="选项错误" error="请从下拉列表中选择" type="list">
      <formula1>"是,否"</formula1>
    </dataValidation>
    <dataValidation sqref="V3:V26" showDropDown="0" showInputMessage="0" showErrorMessage="1" allowBlank="1" errorTitle="选项错误" error="请从下拉列表中选择" type="list">
      <formula1>"是,否"</formula1>
    </dataValidation>
    <dataValidation sqref="S3:S26" showDropDown="0" showInputMessage="0" showErrorMessage="1" allowBlank="1" errorTitle="选项错误" error="请从下拉列表中选择" type="list">
      <formula1>"无,轻微,中等,明显,因不适中止"</formula1>
    </dataValidation>
    <dataValidation sqref="W3:W26" showDropDown="0" showInputMessage="0" showErrorMessage="1" allowBlank="1" errorTitle="选项错误" error="请从下拉列表中选择" type="list">
      <formula1>"参与者退出,身体不适,设备故障,网络故障,追踪异常,问卷中断,协议偏离,其他（见备注）"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5" customWidth="1" min="5" max="5"/>
    <col width="15" customWidth="1" min="6" max="6"/>
    <col width="13" customWidth="1" min="7" max="7"/>
    <col width="16" customWidth="1" min="8" max="8"/>
    <col width="11" customWidth="1" min="9" max="9"/>
    <col width="13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23" max="23"/>
    <col width="16" customWidth="1" min="24" max="24"/>
    <col width="16" customWidth="1" min="25" max="25"/>
    <col width="16" customWidth="1" min="26" max="26"/>
    <col width="13" customWidth="1" min="27" max="27"/>
    <col width="12" customWidth="1" min="28" max="28"/>
    <col width="12" customWidth="1" min="29" max="29"/>
    <col width="12" customWidth="1" min="30" max="30"/>
    <col width="20" customWidth="1" min="31" max="31"/>
    <col width="17" customWidth="1" min="32" max="32"/>
    <col width="15" customWidth="1" min="33" max="33"/>
    <col width="19" customWidth="1" min="34" max="34"/>
    <col width="18" customWidth="1" min="35" max="35"/>
    <col width="15" customWidth="1" min="36" max="36"/>
    <col width="22" customWidth="1" min="37" max="37"/>
    <col width="12" customWidth="1" min="38" max="38"/>
    <col width="18" customWidth="1" min="39" max="39"/>
    <col width="18" customWidth="1" min="40" max="40"/>
    <col width="36" customWidth="1" min="41" max="41"/>
  </cols>
  <sheetData>
    <row r="1" ht="36" customHeight="1">
      <c r="A1" s="26" t="inlineStr">
        <is>
          <t>实验记录（三段堆叠：A 区块记录 144 行 → B 方法级记录 48 行 → C 最终问卷 24 行）。区块评分填 1–7；TiA 填 1–5；S-TIAS 填 1–7；缺失留空。原始分不得被反向分覆盖。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</row>
    <row r="3" ht="38" customHeight="1">
      <c r="A3" s="73" t="inlineStr">
        <is>
          <t>A. 区块记录（每行 = 一个方法×物体区块：进度 + 13+1 项评分 + 问卷时长 + 运行时审计）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 ht="38" customHeight="1">
      <c r="A4" s="38" t="inlineStr">
        <is>
          <t>Participant_ID</t>
        </is>
      </c>
      <c r="B4" s="39" t="inlineStr">
        <is>
          <t>Block_Index</t>
        </is>
      </c>
      <c r="C4" s="39" t="inlineStr">
        <is>
          <t>平衡单元</t>
        </is>
      </c>
      <c r="D4" s="39" t="inlineStr">
        <is>
          <t>物体位置</t>
        </is>
      </c>
      <c r="E4" s="39" t="inlineStr">
        <is>
          <t>物体</t>
        </is>
      </c>
      <c r="F4" s="39" t="inlineStr">
        <is>
          <t>Object_Key</t>
        </is>
      </c>
      <c r="G4" s="39" t="inlineStr">
        <is>
          <t>Shown_Label</t>
        </is>
      </c>
      <c r="H4" s="39" t="inlineStr">
        <is>
          <t>Condition(保密)</t>
        </is>
      </c>
      <c r="I4" s="39" t="inlineStr">
        <is>
          <t>物体内先后</t>
        </is>
      </c>
      <c r="J4" s="39" t="inlineStr">
        <is>
          <t>该方法第几次</t>
        </is>
      </c>
      <c r="K4" s="39" t="inlineStr">
        <is>
          <t>Q1</t>
        </is>
      </c>
      <c r="L4" s="39" t="inlineStr">
        <is>
          <t>Q2</t>
        </is>
      </c>
      <c r="M4" s="39" t="inlineStr">
        <is>
          <t>Q9</t>
        </is>
      </c>
      <c r="N4" s="39" t="inlineStr">
        <is>
          <t>Q10_OPT</t>
        </is>
      </c>
      <c r="O4" s="39" t="inlineStr">
        <is>
          <t>AQ_IQ2</t>
        </is>
      </c>
      <c r="P4" s="39" t="inlineStr">
        <is>
          <t>AQ_IQ3</t>
        </is>
      </c>
      <c r="Q4" s="39" t="inlineStr">
        <is>
          <t>Q3</t>
        </is>
      </c>
      <c r="R4" s="39" t="inlineStr">
        <is>
          <t>Q8</t>
        </is>
      </c>
      <c r="S4" s="39" t="inlineStr">
        <is>
          <t>AQ_EQ1</t>
        </is>
      </c>
      <c r="T4" s="39" t="inlineStr">
        <is>
          <t>AQ_EQ2</t>
        </is>
      </c>
      <c r="U4" s="39" t="inlineStr">
        <is>
          <t>AQ_EQ3</t>
        </is>
      </c>
      <c r="V4" s="39" t="inlineStr">
        <is>
          <t>AQ_IQ1</t>
        </is>
      </c>
      <c r="W4" s="39" t="inlineStr">
        <is>
          <t>Q6</t>
        </is>
      </c>
      <c r="X4" s="39" t="inlineStr">
        <is>
          <t>Q7</t>
        </is>
      </c>
      <c r="Y4" s="39" t="inlineStr">
        <is>
          <t>问卷开始</t>
        </is>
      </c>
      <c r="Z4" s="39" t="inlineStr">
        <is>
          <t>问卷结束</t>
        </is>
      </c>
      <c r="AA4" s="39" t="inlineStr">
        <is>
          <t>问卷时长_s</t>
        </is>
      </c>
      <c r="AB4" s="39" t="inlineStr">
        <is>
          <t>任务完成</t>
        </is>
      </c>
      <c r="AC4" s="39" t="inlineStr">
        <is>
          <t>问卷完成</t>
        </is>
      </c>
      <c r="AD4" s="39" t="inlineStr">
        <is>
          <t>区块有效</t>
        </is>
      </c>
      <c r="AE4" s="39" t="inlineStr">
        <is>
          <t>技术问题</t>
        </is>
      </c>
      <c r="AF4" s="39" t="inlineStr">
        <is>
          <t>Candidate_Rate_Hz</t>
        </is>
      </c>
      <c r="AG4" s="39" t="inlineStr">
        <is>
          <t>VCD_Median</t>
        </is>
      </c>
      <c r="AH4" s="39" t="inlineStr">
        <is>
          <t>VCD_Admission_Rate</t>
        </is>
      </c>
      <c r="AI4" s="39" t="inlineStr">
        <is>
          <t>Output_Availability</t>
        </is>
      </c>
      <c r="AJ4" s="39" t="inlineStr">
        <is>
          <t>遮挡时长_s</t>
        </is>
      </c>
      <c r="AK4" s="39" t="inlineStr">
        <is>
          <t>遮挡生命周期状态</t>
        </is>
      </c>
      <c r="AL4" s="39" t="inlineStr">
        <is>
          <t>进入Lost</t>
        </is>
      </c>
      <c r="AM4" s="39" t="inlineStr">
        <is>
          <t>服务器重获取次数</t>
        </is>
      </c>
      <c r="AN4" s="39" t="inlineStr">
        <is>
          <t>StaticLock进入次数</t>
        </is>
      </c>
      <c r="AO4" s="40" t="inlineStr">
        <is>
          <t>备注</t>
        </is>
      </c>
    </row>
    <row r="5" ht="24" customHeight="1">
      <c r="A5" s="64" t="inlineStr">
        <is>
          <t>P001</t>
        </is>
      </c>
      <c r="B5" s="90" t="n">
        <v>1</v>
      </c>
      <c r="C5" s="90" t="inlineStr">
        <is>
          <t>O1-S1-EA</t>
        </is>
      </c>
      <c r="D5" s="90" t="n">
        <v>1</v>
      </c>
      <c r="E5" s="90" t="inlineStr">
        <is>
          <t>鼠标</t>
        </is>
      </c>
      <c r="F5" s="90" t="inlineStr">
        <is>
          <t>blue_mouse</t>
        </is>
      </c>
      <c r="G5" s="90" t="inlineStr">
        <is>
          <t>方法A</t>
        </is>
      </c>
      <c r="H5" s="90" t="inlineStr">
        <is>
          <t>EgoAnchor</t>
        </is>
      </c>
      <c r="I5" s="90" t="n">
        <v>1</v>
      </c>
      <c r="J5" s="90" t="n">
        <v>1</v>
      </c>
      <c r="K5" s="84" t="n"/>
      <c r="L5" s="84" t="n"/>
      <c r="M5" s="84" t="n"/>
      <c r="N5" s="248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327" t="n"/>
      <c r="Z5" s="327" t="n"/>
      <c r="AA5" s="84" t="n"/>
      <c r="AB5" s="84" t="n"/>
      <c r="AC5" s="84" t="n"/>
      <c r="AD5" s="84" t="n"/>
      <c r="AE5" s="84" t="n"/>
      <c r="AF5" s="216" t="n"/>
      <c r="AG5" s="216" t="n"/>
      <c r="AH5" s="216" t="n"/>
      <c r="AI5" s="216" t="n"/>
      <c r="AJ5" s="216" t="n"/>
      <c r="AK5" s="216" t="n"/>
      <c r="AL5" s="216" t="n"/>
      <c r="AM5" s="216" t="n"/>
      <c r="AN5" s="216" t="n"/>
      <c r="AO5" s="217" t="n"/>
    </row>
    <row r="6" ht="24" customHeight="1">
      <c r="A6" s="65" t="inlineStr">
        <is>
          <t>P001</t>
        </is>
      </c>
      <c r="B6" s="96" t="n">
        <v>2</v>
      </c>
      <c r="C6" s="96" t="inlineStr">
        <is>
          <t>O1-S1-EA</t>
        </is>
      </c>
      <c r="D6" s="96" t="n">
        <v>1</v>
      </c>
      <c r="E6" s="96" t="inlineStr">
        <is>
          <t>鼠标</t>
        </is>
      </c>
      <c r="F6" s="96" t="inlineStr">
        <is>
          <t>blue_mouse</t>
        </is>
      </c>
      <c r="G6" s="96" t="inlineStr">
        <is>
          <t>方法B</t>
        </is>
      </c>
      <c r="H6" s="96" t="inlineStr">
        <is>
          <t>One-Euro</t>
        </is>
      </c>
      <c r="I6" s="96" t="n">
        <v>2</v>
      </c>
      <c r="J6" s="96" t="n">
        <v>1</v>
      </c>
      <c r="K6" s="85" t="n"/>
      <c r="L6" s="85" t="n"/>
      <c r="M6" s="85" t="n"/>
      <c r="N6" s="7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328" t="n"/>
      <c r="Z6" s="328" t="n"/>
      <c r="AA6" s="85" t="n"/>
      <c r="AB6" s="85" t="n"/>
      <c r="AC6" s="85" t="n"/>
      <c r="AD6" s="85" t="n"/>
      <c r="AE6" s="85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218" t="n"/>
    </row>
    <row r="7" ht="24" customHeight="1">
      <c r="A7" s="65" t="inlineStr">
        <is>
          <t>P001</t>
        </is>
      </c>
      <c r="B7" s="96" t="n">
        <v>3</v>
      </c>
      <c r="C7" s="96" t="inlineStr">
        <is>
          <t>O1-S1-EA</t>
        </is>
      </c>
      <c r="D7" s="96" t="n">
        <v>2</v>
      </c>
      <c r="E7" s="96" t="inlineStr">
        <is>
          <t>固定订书机</t>
        </is>
      </c>
      <c r="F7" s="96" t="inlineStr">
        <is>
          <t>stapler</t>
        </is>
      </c>
      <c r="G7" s="96" t="inlineStr">
        <is>
          <t>方法B</t>
        </is>
      </c>
      <c r="H7" s="96" t="inlineStr">
        <is>
          <t>One-Euro</t>
        </is>
      </c>
      <c r="I7" s="96" t="n">
        <v>1</v>
      </c>
      <c r="J7" s="96" t="n">
        <v>2</v>
      </c>
      <c r="K7" s="85" t="n"/>
      <c r="L7" s="85" t="n"/>
      <c r="M7" s="85" t="n"/>
      <c r="N7" s="7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328" t="n"/>
      <c r="Z7" s="328" t="n"/>
      <c r="AA7" s="85" t="n"/>
      <c r="AB7" s="85" t="n"/>
      <c r="AC7" s="85" t="n"/>
      <c r="AD7" s="85" t="n"/>
      <c r="AE7" s="85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218" t="n"/>
    </row>
    <row r="8" ht="24" customHeight="1">
      <c r="A8" s="65" t="inlineStr">
        <is>
          <t>P001</t>
        </is>
      </c>
      <c r="B8" s="96" t="n">
        <v>4</v>
      </c>
      <c r="C8" s="96" t="inlineStr">
        <is>
          <t>O1-S1-EA</t>
        </is>
      </c>
      <c r="D8" s="96" t="n">
        <v>2</v>
      </c>
      <c r="E8" s="96" t="inlineStr">
        <is>
          <t>固定订书机</t>
        </is>
      </c>
      <c r="F8" s="96" t="inlineStr">
        <is>
          <t>stapler</t>
        </is>
      </c>
      <c r="G8" s="96" t="inlineStr">
        <is>
          <t>方法A</t>
        </is>
      </c>
      <c r="H8" s="96" t="inlineStr">
        <is>
          <t>EgoAnchor</t>
        </is>
      </c>
      <c r="I8" s="96" t="n">
        <v>2</v>
      </c>
      <c r="J8" s="96" t="n">
        <v>2</v>
      </c>
      <c r="K8" s="85" t="n"/>
      <c r="L8" s="85" t="n"/>
      <c r="M8" s="85" t="n"/>
      <c r="N8" s="7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328" t="n"/>
      <c r="Z8" s="328" t="n"/>
      <c r="AA8" s="85" t="n"/>
      <c r="AB8" s="85" t="n"/>
      <c r="AC8" s="85" t="n"/>
      <c r="AD8" s="85" t="n"/>
      <c r="AE8" s="85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218" t="n"/>
    </row>
    <row r="9" ht="24" customHeight="1">
      <c r="A9" s="65" t="inlineStr">
        <is>
          <t>P001</t>
        </is>
      </c>
      <c r="B9" s="96" t="n">
        <v>5</v>
      </c>
      <c r="C9" s="96" t="inlineStr">
        <is>
          <t>O1-S1-EA</t>
        </is>
      </c>
      <c r="D9" s="96" t="n">
        <v>3</v>
      </c>
      <c r="E9" s="96" t="inlineStr">
        <is>
          <t>游戏手柄</t>
        </is>
      </c>
      <c r="F9" s="96" t="inlineStr">
        <is>
          <t>gamepad</t>
        </is>
      </c>
      <c r="G9" s="96" t="inlineStr">
        <is>
          <t>方法A</t>
        </is>
      </c>
      <c r="H9" s="96" t="inlineStr">
        <is>
          <t>EgoAnchor</t>
        </is>
      </c>
      <c r="I9" s="96" t="n">
        <v>1</v>
      </c>
      <c r="J9" s="96" t="n">
        <v>3</v>
      </c>
      <c r="K9" s="85" t="n"/>
      <c r="L9" s="85" t="n"/>
      <c r="M9" s="85" t="n"/>
      <c r="N9" s="75" t="n"/>
      <c r="O9" s="85" t="n"/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328" t="n"/>
      <c r="Z9" s="328" t="n"/>
      <c r="AA9" s="85" t="n"/>
      <c r="AB9" s="85" t="n"/>
      <c r="AC9" s="85" t="n"/>
      <c r="AD9" s="85" t="n"/>
      <c r="AE9" s="85" t="n"/>
      <c r="AF9" s="78" t="n"/>
      <c r="AG9" s="78" t="n"/>
      <c r="AH9" s="78" t="n"/>
      <c r="AI9" s="78" t="n"/>
      <c r="AJ9" s="78" t="n"/>
      <c r="AK9" s="78" t="n"/>
      <c r="AL9" s="78" t="n"/>
      <c r="AM9" s="78" t="n"/>
      <c r="AN9" s="78" t="n"/>
      <c r="AO9" s="218" t="n"/>
    </row>
    <row r="10" ht="24" customHeight="1">
      <c r="A10" s="262" t="inlineStr">
        <is>
          <t>P001</t>
        </is>
      </c>
      <c r="B10" s="263" t="n">
        <v>6</v>
      </c>
      <c r="C10" s="263" t="inlineStr">
        <is>
          <t>O1-S1-EA</t>
        </is>
      </c>
      <c r="D10" s="263" t="n">
        <v>3</v>
      </c>
      <c r="E10" s="263" t="inlineStr">
        <is>
          <t>游戏手柄</t>
        </is>
      </c>
      <c r="F10" s="263" t="inlineStr">
        <is>
          <t>gamepad</t>
        </is>
      </c>
      <c r="G10" s="263" t="inlineStr">
        <is>
          <t>方法B</t>
        </is>
      </c>
      <c r="H10" s="263" t="inlineStr">
        <is>
          <t>One-Euro</t>
        </is>
      </c>
      <c r="I10" s="263" t="n">
        <v>2</v>
      </c>
      <c r="J10" s="263" t="n">
        <v>3</v>
      </c>
      <c r="K10" s="266" t="n"/>
      <c r="L10" s="266" t="n"/>
      <c r="M10" s="266" t="n"/>
      <c r="N10" s="278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329" t="n"/>
      <c r="Z10" s="329" t="n"/>
      <c r="AA10" s="266" t="n"/>
      <c r="AB10" s="266" t="n"/>
      <c r="AC10" s="266" t="n"/>
      <c r="AD10" s="266" t="n"/>
      <c r="AE10" s="266" t="n"/>
      <c r="AF10" s="279" t="n"/>
      <c r="AG10" s="279" t="n"/>
      <c r="AH10" s="279" t="n"/>
      <c r="AI10" s="279" t="n"/>
      <c r="AJ10" s="279" t="n"/>
      <c r="AK10" s="279" t="n"/>
      <c r="AL10" s="279" t="n"/>
      <c r="AM10" s="279" t="n"/>
      <c r="AN10" s="279" t="n"/>
      <c r="AO10" s="279" t="n"/>
    </row>
    <row r="11" ht="24" customHeight="1">
      <c r="A11" s="65" t="inlineStr">
        <is>
          <t>P002</t>
        </is>
      </c>
      <c r="B11" s="96" t="n">
        <v>1</v>
      </c>
      <c r="C11" s="96" t="inlineStr">
        <is>
          <t>O1-S2-EA</t>
        </is>
      </c>
      <c r="D11" s="96" t="n">
        <v>1</v>
      </c>
      <c r="E11" s="96" t="inlineStr">
        <is>
          <t>鼠标</t>
        </is>
      </c>
      <c r="F11" s="96" t="inlineStr">
        <is>
          <t>blue_mouse</t>
        </is>
      </c>
      <c r="G11" s="96" t="inlineStr">
        <is>
          <t>方法B</t>
        </is>
      </c>
      <c r="H11" s="96" t="inlineStr">
        <is>
          <t>One-Euro</t>
        </is>
      </c>
      <c r="I11" s="96" t="n">
        <v>1</v>
      </c>
      <c r="J11" s="96" t="n">
        <v>1</v>
      </c>
      <c r="K11" s="85" t="n"/>
      <c r="L11" s="85" t="n"/>
      <c r="M11" s="85" t="n"/>
      <c r="N11" s="7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328" t="n"/>
      <c r="Z11" s="328" t="n"/>
      <c r="AA11" s="85" t="n"/>
      <c r="AB11" s="85" t="n"/>
      <c r="AC11" s="85" t="n"/>
      <c r="AD11" s="85" t="n"/>
      <c r="AE11" s="85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218" t="n"/>
    </row>
    <row r="12" ht="24" customHeight="1">
      <c r="A12" s="65" t="inlineStr">
        <is>
          <t>P002</t>
        </is>
      </c>
      <c r="B12" s="96" t="n">
        <v>2</v>
      </c>
      <c r="C12" s="96" t="inlineStr">
        <is>
          <t>O1-S2-EA</t>
        </is>
      </c>
      <c r="D12" s="96" t="n">
        <v>1</v>
      </c>
      <c r="E12" s="96" t="inlineStr">
        <is>
          <t>鼠标</t>
        </is>
      </c>
      <c r="F12" s="96" t="inlineStr">
        <is>
          <t>blue_mouse</t>
        </is>
      </c>
      <c r="G12" s="96" t="inlineStr">
        <is>
          <t>方法A</t>
        </is>
      </c>
      <c r="H12" s="96" t="inlineStr">
        <is>
          <t>EgoAnchor</t>
        </is>
      </c>
      <c r="I12" s="96" t="n">
        <v>2</v>
      </c>
      <c r="J12" s="96" t="n">
        <v>1</v>
      </c>
      <c r="K12" s="85" t="n"/>
      <c r="L12" s="85" t="n"/>
      <c r="M12" s="85" t="n"/>
      <c r="N12" s="75" t="n"/>
      <c r="O12" s="85" t="n"/>
      <c r="P12" s="85" t="n"/>
      <c r="Q12" s="85" t="n"/>
      <c r="R12" s="85" t="n"/>
      <c r="S12" s="85" t="n"/>
      <c r="T12" s="85" t="n"/>
      <c r="U12" s="85" t="n"/>
      <c r="V12" s="85" t="n"/>
      <c r="W12" s="85" t="n"/>
      <c r="X12" s="85" t="n"/>
      <c r="Y12" s="328" t="n"/>
      <c r="Z12" s="328" t="n"/>
      <c r="AA12" s="85" t="n"/>
      <c r="AB12" s="85" t="n"/>
      <c r="AC12" s="85" t="n"/>
      <c r="AD12" s="85" t="n"/>
      <c r="AE12" s="85" t="n"/>
      <c r="AF12" s="78" t="n"/>
      <c r="AG12" s="78" t="n"/>
      <c r="AH12" s="78" t="n"/>
      <c r="AI12" s="78" t="n"/>
      <c r="AJ12" s="78" t="n"/>
      <c r="AK12" s="78" t="n"/>
      <c r="AL12" s="78" t="n"/>
      <c r="AM12" s="78" t="n"/>
      <c r="AN12" s="78" t="n"/>
      <c r="AO12" s="218" t="n"/>
    </row>
    <row r="13" ht="24" customHeight="1">
      <c r="A13" s="65" t="inlineStr">
        <is>
          <t>P002</t>
        </is>
      </c>
      <c r="B13" s="96" t="n">
        <v>3</v>
      </c>
      <c r="C13" s="96" t="inlineStr">
        <is>
          <t>O1-S2-EA</t>
        </is>
      </c>
      <c r="D13" s="96" t="n">
        <v>2</v>
      </c>
      <c r="E13" s="96" t="inlineStr">
        <is>
          <t>固定订书机</t>
        </is>
      </c>
      <c r="F13" s="96" t="inlineStr">
        <is>
          <t>stapler</t>
        </is>
      </c>
      <c r="G13" s="96" t="inlineStr">
        <is>
          <t>方法A</t>
        </is>
      </c>
      <c r="H13" s="96" t="inlineStr">
        <is>
          <t>EgoAnchor</t>
        </is>
      </c>
      <c r="I13" s="96" t="n">
        <v>1</v>
      </c>
      <c r="J13" s="96" t="n">
        <v>2</v>
      </c>
      <c r="K13" s="85" t="n"/>
      <c r="L13" s="85" t="n"/>
      <c r="M13" s="85" t="n"/>
      <c r="N13" s="75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328" t="n"/>
      <c r="Z13" s="328" t="n"/>
      <c r="AA13" s="85" t="n"/>
      <c r="AB13" s="85" t="n"/>
      <c r="AC13" s="85" t="n"/>
      <c r="AD13" s="85" t="n"/>
      <c r="AE13" s="85" t="n"/>
      <c r="AF13" s="78" t="n"/>
      <c r="AG13" s="78" t="n"/>
      <c r="AH13" s="78" t="n"/>
      <c r="AI13" s="78" t="n"/>
      <c r="AJ13" s="78" t="n"/>
      <c r="AK13" s="78" t="n"/>
      <c r="AL13" s="78" t="n"/>
      <c r="AM13" s="78" t="n"/>
      <c r="AN13" s="78" t="n"/>
      <c r="AO13" s="218" t="n"/>
    </row>
    <row r="14" ht="24" customHeight="1">
      <c r="A14" s="65" t="inlineStr">
        <is>
          <t>P002</t>
        </is>
      </c>
      <c r="B14" s="96" t="n">
        <v>4</v>
      </c>
      <c r="C14" s="96" t="inlineStr">
        <is>
          <t>O1-S2-EA</t>
        </is>
      </c>
      <c r="D14" s="96" t="n">
        <v>2</v>
      </c>
      <c r="E14" s="96" t="inlineStr">
        <is>
          <t>固定订书机</t>
        </is>
      </c>
      <c r="F14" s="96" t="inlineStr">
        <is>
          <t>stapler</t>
        </is>
      </c>
      <c r="G14" s="96" t="inlineStr">
        <is>
          <t>方法B</t>
        </is>
      </c>
      <c r="H14" s="96" t="inlineStr">
        <is>
          <t>One-Euro</t>
        </is>
      </c>
      <c r="I14" s="96" t="n">
        <v>2</v>
      </c>
      <c r="J14" s="96" t="n">
        <v>2</v>
      </c>
      <c r="K14" s="85" t="n"/>
      <c r="L14" s="85" t="n"/>
      <c r="M14" s="85" t="n"/>
      <c r="N14" s="7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328" t="n"/>
      <c r="Z14" s="328" t="n"/>
      <c r="AA14" s="85" t="n"/>
      <c r="AB14" s="85" t="n"/>
      <c r="AC14" s="85" t="n"/>
      <c r="AD14" s="85" t="n"/>
      <c r="AE14" s="85" t="n"/>
      <c r="AF14" s="78" t="n"/>
      <c r="AG14" s="78" t="n"/>
      <c r="AH14" s="78" t="n"/>
      <c r="AI14" s="78" t="n"/>
      <c r="AJ14" s="78" t="n"/>
      <c r="AK14" s="78" t="n"/>
      <c r="AL14" s="78" t="n"/>
      <c r="AM14" s="78" t="n"/>
      <c r="AN14" s="78" t="n"/>
      <c r="AO14" s="218" t="n"/>
    </row>
    <row r="15" ht="24" customHeight="1">
      <c r="A15" s="65" t="inlineStr">
        <is>
          <t>P002</t>
        </is>
      </c>
      <c r="B15" s="96" t="n">
        <v>5</v>
      </c>
      <c r="C15" s="96" t="inlineStr">
        <is>
          <t>O1-S2-EA</t>
        </is>
      </c>
      <c r="D15" s="96" t="n">
        <v>3</v>
      </c>
      <c r="E15" s="96" t="inlineStr">
        <is>
          <t>游戏手柄</t>
        </is>
      </c>
      <c r="F15" s="96" t="inlineStr">
        <is>
          <t>gamepad</t>
        </is>
      </c>
      <c r="G15" s="96" t="inlineStr">
        <is>
          <t>方法B</t>
        </is>
      </c>
      <c r="H15" s="96" t="inlineStr">
        <is>
          <t>One-Euro</t>
        </is>
      </c>
      <c r="I15" s="96" t="n">
        <v>1</v>
      </c>
      <c r="J15" s="96" t="n">
        <v>3</v>
      </c>
      <c r="K15" s="85" t="n"/>
      <c r="L15" s="85" t="n"/>
      <c r="M15" s="85" t="n"/>
      <c r="N15" s="7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328" t="n"/>
      <c r="Z15" s="328" t="n"/>
      <c r="AA15" s="85" t="n"/>
      <c r="AB15" s="85" t="n"/>
      <c r="AC15" s="85" t="n"/>
      <c r="AD15" s="85" t="n"/>
      <c r="AE15" s="85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218" t="n"/>
    </row>
    <row r="16" ht="24" customHeight="1">
      <c r="A16" s="262" t="inlineStr">
        <is>
          <t>P002</t>
        </is>
      </c>
      <c r="B16" s="263" t="n">
        <v>6</v>
      </c>
      <c r="C16" s="263" t="inlineStr">
        <is>
          <t>O1-S2-EA</t>
        </is>
      </c>
      <c r="D16" s="263" t="n">
        <v>3</v>
      </c>
      <c r="E16" s="263" t="inlineStr">
        <is>
          <t>游戏手柄</t>
        </is>
      </c>
      <c r="F16" s="263" t="inlineStr">
        <is>
          <t>gamepad</t>
        </is>
      </c>
      <c r="G16" s="263" t="inlineStr">
        <is>
          <t>方法A</t>
        </is>
      </c>
      <c r="H16" s="263" t="inlineStr">
        <is>
          <t>EgoAnchor</t>
        </is>
      </c>
      <c r="I16" s="263" t="n">
        <v>2</v>
      </c>
      <c r="J16" s="263" t="n">
        <v>3</v>
      </c>
      <c r="K16" s="266" t="n"/>
      <c r="L16" s="266" t="n"/>
      <c r="M16" s="266" t="n"/>
      <c r="N16" s="278" t="n"/>
      <c r="O16" s="266" t="n"/>
      <c r="P16" s="266" t="n"/>
      <c r="Q16" s="266" t="n"/>
      <c r="R16" s="266" t="n"/>
      <c r="S16" s="266" t="n"/>
      <c r="T16" s="266" t="n"/>
      <c r="U16" s="266" t="n"/>
      <c r="V16" s="266" t="n"/>
      <c r="W16" s="266" t="n"/>
      <c r="X16" s="266" t="n"/>
      <c r="Y16" s="329" t="n"/>
      <c r="Z16" s="329" t="n"/>
      <c r="AA16" s="266" t="n"/>
      <c r="AB16" s="266" t="n"/>
      <c r="AC16" s="266" t="n"/>
      <c r="AD16" s="266" t="n"/>
      <c r="AE16" s="266" t="n"/>
      <c r="AF16" s="279" t="n"/>
      <c r="AG16" s="279" t="n"/>
      <c r="AH16" s="279" t="n"/>
      <c r="AI16" s="279" t="n"/>
      <c r="AJ16" s="279" t="n"/>
      <c r="AK16" s="279" t="n"/>
      <c r="AL16" s="279" t="n"/>
      <c r="AM16" s="279" t="n"/>
      <c r="AN16" s="279" t="n"/>
      <c r="AO16" s="279" t="n"/>
    </row>
    <row r="17" ht="24" customHeight="1">
      <c r="A17" s="65" t="inlineStr">
        <is>
          <t>P003</t>
        </is>
      </c>
      <c r="B17" s="96" t="n">
        <v>1</v>
      </c>
      <c r="C17" s="96" t="inlineStr">
        <is>
          <t>O1-S2-OE</t>
        </is>
      </c>
      <c r="D17" s="96" t="n">
        <v>1</v>
      </c>
      <c r="E17" s="96" t="inlineStr">
        <is>
          <t>鼠标</t>
        </is>
      </c>
      <c r="F17" s="96" t="inlineStr">
        <is>
          <t>blue_mouse</t>
        </is>
      </c>
      <c r="G17" s="96" t="inlineStr">
        <is>
          <t>方法B</t>
        </is>
      </c>
      <c r="H17" s="96" t="inlineStr">
        <is>
          <t>EgoAnchor</t>
        </is>
      </c>
      <c r="I17" s="96" t="n">
        <v>1</v>
      </c>
      <c r="J17" s="96" t="n">
        <v>1</v>
      </c>
      <c r="K17" s="85" t="n"/>
      <c r="L17" s="85" t="n"/>
      <c r="M17" s="85" t="n"/>
      <c r="N17" s="7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328" t="n"/>
      <c r="Z17" s="328" t="n"/>
      <c r="AA17" s="85" t="n"/>
      <c r="AB17" s="85" t="n"/>
      <c r="AC17" s="85" t="n"/>
      <c r="AD17" s="85" t="n"/>
      <c r="AE17" s="85" t="n"/>
      <c r="AF17" s="78" t="n"/>
      <c r="AG17" s="78" t="n"/>
      <c r="AH17" s="78" t="n"/>
      <c r="AI17" s="78" t="n"/>
      <c r="AJ17" s="78" t="n"/>
      <c r="AK17" s="78" t="n"/>
      <c r="AL17" s="78" t="n"/>
      <c r="AM17" s="78" t="n"/>
      <c r="AN17" s="78" t="n"/>
      <c r="AO17" s="218" t="n"/>
    </row>
    <row r="18" ht="24" customHeight="1">
      <c r="A18" s="65" t="inlineStr">
        <is>
          <t>P003</t>
        </is>
      </c>
      <c r="B18" s="96" t="n">
        <v>2</v>
      </c>
      <c r="C18" s="96" t="inlineStr">
        <is>
          <t>O1-S2-OE</t>
        </is>
      </c>
      <c r="D18" s="96" t="n">
        <v>1</v>
      </c>
      <c r="E18" s="96" t="inlineStr">
        <is>
          <t>鼠标</t>
        </is>
      </c>
      <c r="F18" s="96" t="inlineStr">
        <is>
          <t>blue_mouse</t>
        </is>
      </c>
      <c r="G18" s="96" t="inlineStr">
        <is>
          <t>方法A</t>
        </is>
      </c>
      <c r="H18" s="96" t="inlineStr">
        <is>
          <t>One-Euro</t>
        </is>
      </c>
      <c r="I18" s="96" t="n">
        <v>2</v>
      </c>
      <c r="J18" s="96" t="n">
        <v>1</v>
      </c>
      <c r="K18" s="85" t="n"/>
      <c r="L18" s="85" t="n"/>
      <c r="M18" s="85" t="n"/>
      <c r="N18" s="7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328" t="n"/>
      <c r="Z18" s="328" t="n"/>
      <c r="AA18" s="85" t="n"/>
      <c r="AB18" s="85" t="n"/>
      <c r="AC18" s="85" t="n"/>
      <c r="AD18" s="85" t="n"/>
      <c r="AE18" s="85" t="n"/>
      <c r="AF18" s="78" t="n"/>
      <c r="AG18" s="78" t="n"/>
      <c r="AH18" s="78" t="n"/>
      <c r="AI18" s="78" t="n"/>
      <c r="AJ18" s="78" t="n"/>
      <c r="AK18" s="78" t="n"/>
      <c r="AL18" s="78" t="n"/>
      <c r="AM18" s="78" t="n"/>
      <c r="AN18" s="78" t="n"/>
      <c r="AO18" s="218" t="n"/>
    </row>
    <row r="19" ht="24" customHeight="1">
      <c r="A19" s="65" t="inlineStr">
        <is>
          <t>P003</t>
        </is>
      </c>
      <c r="B19" s="96" t="n">
        <v>3</v>
      </c>
      <c r="C19" s="96" t="inlineStr">
        <is>
          <t>O1-S2-OE</t>
        </is>
      </c>
      <c r="D19" s="96" t="n">
        <v>2</v>
      </c>
      <c r="E19" s="96" t="inlineStr">
        <is>
          <t>固定订书机</t>
        </is>
      </c>
      <c r="F19" s="96" t="inlineStr">
        <is>
          <t>stapler</t>
        </is>
      </c>
      <c r="G19" s="96" t="inlineStr">
        <is>
          <t>方法A</t>
        </is>
      </c>
      <c r="H19" s="96" t="inlineStr">
        <is>
          <t>One-Euro</t>
        </is>
      </c>
      <c r="I19" s="96" t="n">
        <v>1</v>
      </c>
      <c r="J19" s="96" t="n">
        <v>2</v>
      </c>
      <c r="K19" s="85" t="n"/>
      <c r="L19" s="85" t="n"/>
      <c r="M19" s="85" t="n"/>
      <c r="N19" s="7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328" t="n"/>
      <c r="Z19" s="328" t="n"/>
      <c r="AA19" s="85" t="n"/>
      <c r="AB19" s="85" t="n"/>
      <c r="AC19" s="85" t="n"/>
      <c r="AD19" s="85" t="n"/>
      <c r="AE19" s="85" t="n"/>
      <c r="AF19" s="78" t="n"/>
      <c r="AG19" s="78" t="n"/>
      <c r="AH19" s="78" t="n"/>
      <c r="AI19" s="78" t="n"/>
      <c r="AJ19" s="78" t="n"/>
      <c r="AK19" s="78" t="n"/>
      <c r="AL19" s="78" t="n"/>
      <c r="AM19" s="78" t="n"/>
      <c r="AN19" s="78" t="n"/>
      <c r="AO19" s="218" t="n"/>
    </row>
    <row r="20" ht="24" customHeight="1">
      <c r="A20" s="65" t="inlineStr">
        <is>
          <t>P003</t>
        </is>
      </c>
      <c r="B20" s="96" t="n">
        <v>4</v>
      </c>
      <c r="C20" s="96" t="inlineStr">
        <is>
          <t>O1-S2-OE</t>
        </is>
      </c>
      <c r="D20" s="96" t="n">
        <v>2</v>
      </c>
      <c r="E20" s="96" t="inlineStr">
        <is>
          <t>固定订书机</t>
        </is>
      </c>
      <c r="F20" s="96" t="inlineStr">
        <is>
          <t>stapler</t>
        </is>
      </c>
      <c r="G20" s="96" t="inlineStr">
        <is>
          <t>方法B</t>
        </is>
      </c>
      <c r="H20" s="96" t="inlineStr">
        <is>
          <t>EgoAnchor</t>
        </is>
      </c>
      <c r="I20" s="96" t="n">
        <v>2</v>
      </c>
      <c r="J20" s="96" t="n">
        <v>2</v>
      </c>
      <c r="K20" s="85" t="n"/>
      <c r="L20" s="85" t="n"/>
      <c r="M20" s="85" t="n"/>
      <c r="N20" s="7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328" t="n"/>
      <c r="Z20" s="328" t="n"/>
      <c r="AA20" s="85" t="n"/>
      <c r="AB20" s="85" t="n"/>
      <c r="AC20" s="85" t="n"/>
      <c r="AD20" s="85" t="n"/>
      <c r="AE20" s="85" t="n"/>
      <c r="AF20" s="78" t="n"/>
      <c r="AG20" s="78" t="n"/>
      <c r="AH20" s="78" t="n"/>
      <c r="AI20" s="78" t="n"/>
      <c r="AJ20" s="78" t="n"/>
      <c r="AK20" s="78" t="n"/>
      <c r="AL20" s="78" t="n"/>
      <c r="AM20" s="78" t="n"/>
      <c r="AN20" s="78" t="n"/>
      <c r="AO20" s="218" t="n"/>
    </row>
    <row r="21" ht="24" customHeight="1">
      <c r="A21" s="65" t="inlineStr">
        <is>
          <t>P003</t>
        </is>
      </c>
      <c r="B21" s="96" t="n">
        <v>5</v>
      </c>
      <c r="C21" s="96" t="inlineStr">
        <is>
          <t>O1-S2-OE</t>
        </is>
      </c>
      <c r="D21" s="96" t="n">
        <v>3</v>
      </c>
      <c r="E21" s="96" t="inlineStr">
        <is>
          <t>游戏手柄</t>
        </is>
      </c>
      <c r="F21" s="96" t="inlineStr">
        <is>
          <t>gamepad</t>
        </is>
      </c>
      <c r="G21" s="96" t="inlineStr">
        <is>
          <t>方法B</t>
        </is>
      </c>
      <c r="H21" s="96" t="inlineStr">
        <is>
          <t>EgoAnchor</t>
        </is>
      </c>
      <c r="I21" s="96" t="n">
        <v>1</v>
      </c>
      <c r="J21" s="96" t="n">
        <v>3</v>
      </c>
      <c r="K21" s="85" t="n"/>
      <c r="L21" s="85" t="n"/>
      <c r="M21" s="85" t="n"/>
      <c r="N21" s="7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328" t="n"/>
      <c r="Z21" s="328" t="n"/>
      <c r="AA21" s="85" t="n"/>
      <c r="AB21" s="85" t="n"/>
      <c r="AC21" s="85" t="n"/>
      <c r="AD21" s="85" t="n"/>
      <c r="AE21" s="85" t="n"/>
      <c r="AF21" s="78" t="n"/>
      <c r="AG21" s="78" t="n"/>
      <c r="AH21" s="78" t="n"/>
      <c r="AI21" s="78" t="n"/>
      <c r="AJ21" s="78" t="n"/>
      <c r="AK21" s="78" t="n"/>
      <c r="AL21" s="78" t="n"/>
      <c r="AM21" s="78" t="n"/>
      <c r="AN21" s="78" t="n"/>
      <c r="AO21" s="218" t="n"/>
    </row>
    <row r="22" ht="24" customHeight="1">
      <c r="A22" s="262" t="inlineStr">
        <is>
          <t>P003</t>
        </is>
      </c>
      <c r="B22" s="263" t="n">
        <v>6</v>
      </c>
      <c r="C22" s="263" t="inlineStr">
        <is>
          <t>O1-S2-OE</t>
        </is>
      </c>
      <c r="D22" s="263" t="n">
        <v>3</v>
      </c>
      <c r="E22" s="263" t="inlineStr">
        <is>
          <t>游戏手柄</t>
        </is>
      </c>
      <c r="F22" s="263" t="inlineStr">
        <is>
          <t>gamepad</t>
        </is>
      </c>
      <c r="G22" s="263" t="inlineStr">
        <is>
          <t>方法A</t>
        </is>
      </c>
      <c r="H22" s="263" t="inlineStr">
        <is>
          <t>One-Euro</t>
        </is>
      </c>
      <c r="I22" s="263" t="n">
        <v>2</v>
      </c>
      <c r="J22" s="263" t="n">
        <v>3</v>
      </c>
      <c r="K22" s="266" t="n"/>
      <c r="L22" s="266" t="n"/>
      <c r="M22" s="266" t="n"/>
      <c r="N22" s="278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329" t="n"/>
      <c r="Z22" s="329" t="n"/>
      <c r="AA22" s="266" t="n"/>
      <c r="AB22" s="266" t="n"/>
      <c r="AC22" s="266" t="n"/>
      <c r="AD22" s="266" t="n"/>
      <c r="AE22" s="266" t="n"/>
      <c r="AF22" s="279" t="n"/>
      <c r="AG22" s="279" t="n"/>
      <c r="AH22" s="279" t="n"/>
      <c r="AI22" s="279" t="n"/>
      <c r="AJ22" s="279" t="n"/>
      <c r="AK22" s="279" t="n"/>
      <c r="AL22" s="279" t="n"/>
      <c r="AM22" s="279" t="n"/>
      <c r="AN22" s="279" t="n"/>
      <c r="AO22" s="279" t="n"/>
    </row>
    <row r="23" ht="24" customHeight="1">
      <c r="A23" s="65" t="inlineStr">
        <is>
          <t>P004</t>
        </is>
      </c>
      <c r="B23" s="96" t="n">
        <v>1</v>
      </c>
      <c r="C23" s="96" t="inlineStr">
        <is>
          <t>O1-S1-OE</t>
        </is>
      </c>
      <c r="D23" s="96" t="n">
        <v>1</v>
      </c>
      <c r="E23" s="96" t="inlineStr">
        <is>
          <t>鼠标</t>
        </is>
      </c>
      <c r="F23" s="96" t="inlineStr">
        <is>
          <t>blue_mouse</t>
        </is>
      </c>
      <c r="G23" s="96" t="inlineStr">
        <is>
          <t>方法A</t>
        </is>
      </c>
      <c r="H23" s="96" t="inlineStr">
        <is>
          <t>One-Euro</t>
        </is>
      </c>
      <c r="I23" s="96" t="n">
        <v>1</v>
      </c>
      <c r="J23" s="96" t="n">
        <v>1</v>
      </c>
      <c r="K23" s="85" t="n"/>
      <c r="L23" s="85" t="n"/>
      <c r="M23" s="85" t="n"/>
      <c r="N23" s="75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328" t="n"/>
      <c r="Z23" s="328" t="n"/>
      <c r="AA23" s="85" t="n"/>
      <c r="AB23" s="85" t="n"/>
      <c r="AC23" s="85" t="n"/>
      <c r="AD23" s="85" t="n"/>
      <c r="AE23" s="85" t="n"/>
      <c r="AF23" s="78" t="n"/>
      <c r="AG23" s="78" t="n"/>
      <c r="AH23" s="78" t="n"/>
      <c r="AI23" s="78" t="n"/>
      <c r="AJ23" s="78" t="n"/>
      <c r="AK23" s="78" t="n"/>
      <c r="AL23" s="78" t="n"/>
      <c r="AM23" s="78" t="n"/>
      <c r="AN23" s="78" t="n"/>
      <c r="AO23" s="218" t="n"/>
    </row>
    <row r="24" ht="24" customHeight="1">
      <c r="A24" s="65" t="inlineStr">
        <is>
          <t>P004</t>
        </is>
      </c>
      <c r="B24" s="96" t="n">
        <v>2</v>
      </c>
      <c r="C24" s="96" t="inlineStr">
        <is>
          <t>O1-S1-OE</t>
        </is>
      </c>
      <c r="D24" s="96" t="n">
        <v>1</v>
      </c>
      <c r="E24" s="96" t="inlineStr">
        <is>
          <t>鼠标</t>
        </is>
      </c>
      <c r="F24" s="96" t="inlineStr">
        <is>
          <t>blue_mouse</t>
        </is>
      </c>
      <c r="G24" s="96" t="inlineStr">
        <is>
          <t>方法B</t>
        </is>
      </c>
      <c r="H24" s="96" t="inlineStr">
        <is>
          <t>EgoAnchor</t>
        </is>
      </c>
      <c r="I24" s="96" t="n">
        <v>2</v>
      </c>
      <c r="J24" s="96" t="n">
        <v>1</v>
      </c>
      <c r="K24" s="85" t="n"/>
      <c r="L24" s="85" t="n"/>
      <c r="M24" s="85" t="n"/>
      <c r="N24" s="75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328" t="n"/>
      <c r="Z24" s="328" t="n"/>
      <c r="AA24" s="85" t="n"/>
      <c r="AB24" s="85" t="n"/>
      <c r="AC24" s="85" t="n"/>
      <c r="AD24" s="85" t="n"/>
      <c r="AE24" s="85" t="n"/>
      <c r="AF24" s="78" t="n"/>
      <c r="AG24" s="78" t="n"/>
      <c r="AH24" s="78" t="n"/>
      <c r="AI24" s="78" t="n"/>
      <c r="AJ24" s="78" t="n"/>
      <c r="AK24" s="78" t="n"/>
      <c r="AL24" s="78" t="n"/>
      <c r="AM24" s="78" t="n"/>
      <c r="AN24" s="78" t="n"/>
      <c r="AO24" s="218" t="n"/>
    </row>
    <row r="25" ht="24" customHeight="1">
      <c r="A25" s="65" t="inlineStr">
        <is>
          <t>P004</t>
        </is>
      </c>
      <c r="B25" s="96" t="n">
        <v>3</v>
      </c>
      <c r="C25" s="96" t="inlineStr">
        <is>
          <t>O1-S1-OE</t>
        </is>
      </c>
      <c r="D25" s="96" t="n">
        <v>2</v>
      </c>
      <c r="E25" s="96" t="inlineStr">
        <is>
          <t>固定订书机</t>
        </is>
      </c>
      <c r="F25" s="96" t="inlineStr">
        <is>
          <t>stapler</t>
        </is>
      </c>
      <c r="G25" s="96" t="inlineStr">
        <is>
          <t>方法B</t>
        </is>
      </c>
      <c r="H25" s="96" t="inlineStr">
        <is>
          <t>EgoAnchor</t>
        </is>
      </c>
      <c r="I25" s="96" t="n">
        <v>1</v>
      </c>
      <c r="J25" s="96" t="n">
        <v>2</v>
      </c>
      <c r="K25" s="85" t="n"/>
      <c r="L25" s="85" t="n"/>
      <c r="M25" s="85" t="n"/>
      <c r="N25" s="7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328" t="n"/>
      <c r="Z25" s="328" t="n"/>
      <c r="AA25" s="85" t="n"/>
      <c r="AB25" s="85" t="n"/>
      <c r="AC25" s="85" t="n"/>
      <c r="AD25" s="85" t="n"/>
      <c r="AE25" s="85" t="n"/>
      <c r="AF25" s="78" t="n"/>
      <c r="AG25" s="78" t="n"/>
      <c r="AH25" s="78" t="n"/>
      <c r="AI25" s="78" t="n"/>
      <c r="AJ25" s="78" t="n"/>
      <c r="AK25" s="78" t="n"/>
      <c r="AL25" s="78" t="n"/>
      <c r="AM25" s="78" t="n"/>
      <c r="AN25" s="78" t="n"/>
      <c r="AO25" s="218" t="n"/>
    </row>
    <row r="26" ht="24" customHeight="1">
      <c r="A26" s="65" t="inlineStr">
        <is>
          <t>P004</t>
        </is>
      </c>
      <c r="B26" s="96" t="n">
        <v>4</v>
      </c>
      <c r="C26" s="96" t="inlineStr">
        <is>
          <t>O1-S1-OE</t>
        </is>
      </c>
      <c r="D26" s="96" t="n">
        <v>2</v>
      </c>
      <c r="E26" s="96" t="inlineStr">
        <is>
          <t>固定订书机</t>
        </is>
      </c>
      <c r="F26" s="96" t="inlineStr">
        <is>
          <t>stapler</t>
        </is>
      </c>
      <c r="G26" s="96" t="inlineStr">
        <is>
          <t>方法A</t>
        </is>
      </c>
      <c r="H26" s="96" t="inlineStr">
        <is>
          <t>One-Euro</t>
        </is>
      </c>
      <c r="I26" s="96" t="n">
        <v>2</v>
      </c>
      <c r="J26" s="96" t="n">
        <v>2</v>
      </c>
      <c r="K26" s="85" t="n"/>
      <c r="L26" s="85" t="n"/>
      <c r="M26" s="85" t="n"/>
      <c r="N26" s="75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328" t="n"/>
      <c r="Z26" s="328" t="n"/>
      <c r="AA26" s="85" t="n"/>
      <c r="AB26" s="85" t="n"/>
      <c r="AC26" s="85" t="n"/>
      <c r="AD26" s="85" t="n"/>
      <c r="AE26" s="85" t="n"/>
      <c r="AF26" s="78" t="n"/>
      <c r="AG26" s="78" t="n"/>
      <c r="AH26" s="78" t="n"/>
      <c r="AI26" s="78" t="n"/>
      <c r="AJ26" s="78" t="n"/>
      <c r="AK26" s="78" t="n"/>
      <c r="AL26" s="78" t="n"/>
      <c r="AM26" s="78" t="n"/>
      <c r="AN26" s="78" t="n"/>
      <c r="AO26" s="218" t="n"/>
    </row>
    <row r="27" ht="24" customHeight="1">
      <c r="A27" s="65" t="inlineStr">
        <is>
          <t>P004</t>
        </is>
      </c>
      <c r="B27" s="96" t="n">
        <v>5</v>
      </c>
      <c r="C27" s="96" t="inlineStr">
        <is>
          <t>O1-S1-OE</t>
        </is>
      </c>
      <c r="D27" s="96" t="n">
        <v>3</v>
      </c>
      <c r="E27" s="96" t="inlineStr">
        <is>
          <t>游戏手柄</t>
        </is>
      </c>
      <c r="F27" s="96" t="inlineStr">
        <is>
          <t>gamepad</t>
        </is>
      </c>
      <c r="G27" s="96" t="inlineStr">
        <is>
          <t>方法A</t>
        </is>
      </c>
      <c r="H27" s="96" t="inlineStr">
        <is>
          <t>One-Euro</t>
        </is>
      </c>
      <c r="I27" s="96" t="n">
        <v>1</v>
      </c>
      <c r="J27" s="96" t="n">
        <v>3</v>
      </c>
      <c r="K27" s="85" t="n"/>
      <c r="L27" s="85" t="n"/>
      <c r="M27" s="85" t="n"/>
      <c r="N27" s="7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328" t="n"/>
      <c r="Z27" s="328" t="n"/>
      <c r="AA27" s="85" t="n"/>
      <c r="AB27" s="85" t="n"/>
      <c r="AC27" s="85" t="n"/>
      <c r="AD27" s="85" t="n"/>
      <c r="AE27" s="85" t="n"/>
      <c r="AF27" s="78" t="n"/>
      <c r="AG27" s="78" t="n"/>
      <c r="AH27" s="78" t="n"/>
      <c r="AI27" s="78" t="n"/>
      <c r="AJ27" s="78" t="n"/>
      <c r="AK27" s="78" t="n"/>
      <c r="AL27" s="78" t="n"/>
      <c r="AM27" s="78" t="n"/>
      <c r="AN27" s="78" t="n"/>
      <c r="AO27" s="218" t="n"/>
    </row>
    <row r="28" ht="24" customHeight="1">
      <c r="A28" s="262" t="inlineStr">
        <is>
          <t>P004</t>
        </is>
      </c>
      <c r="B28" s="263" t="n">
        <v>6</v>
      </c>
      <c r="C28" s="263" t="inlineStr">
        <is>
          <t>O1-S1-OE</t>
        </is>
      </c>
      <c r="D28" s="263" t="n">
        <v>3</v>
      </c>
      <c r="E28" s="263" t="inlineStr">
        <is>
          <t>游戏手柄</t>
        </is>
      </c>
      <c r="F28" s="263" t="inlineStr">
        <is>
          <t>gamepad</t>
        </is>
      </c>
      <c r="G28" s="263" t="inlineStr">
        <is>
          <t>方法B</t>
        </is>
      </c>
      <c r="H28" s="263" t="inlineStr">
        <is>
          <t>EgoAnchor</t>
        </is>
      </c>
      <c r="I28" s="263" t="n">
        <v>2</v>
      </c>
      <c r="J28" s="263" t="n">
        <v>3</v>
      </c>
      <c r="K28" s="266" t="n"/>
      <c r="L28" s="266" t="n"/>
      <c r="M28" s="266" t="n"/>
      <c r="N28" s="278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329" t="n"/>
      <c r="Z28" s="329" t="n"/>
      <c r="AA28" s="266" t="n"/>
      <c r="AB28" s="266" t="n"/>
      <c r="AC28" s="266" t="n"/>
      <c r="AD28" s="266" t="n"/>
      <c r="AE28" s="266" t="n"/>
      <c r="AF28" s="279" t="n"/>
      <c r="AG28" s="279" t="n"/>
      <c r="AH28" s="279" t="n"/>
      <c r="AI28" s="279" t="n"/>
      <c r="AJ28" s="279" t="n"/>
      <c r="AK28" s="279" t="n"/>
      <c r="AL28" s="279" t="n"/>
      <c r="AM28" s="279" t="n"/>
      <c r="AN28" s="279" t="n"/>
      <c r="AO28" s="279" t="n"/>
    </row>
    <row r="29" ht="24" customHeight="1">
      <c r="A29" s="65" t="inlineStr">
        <is>
          <t>P005</t>
        </is>
      </c>
      <c r="B29" s="96" t="n">
        <v>1</v>
      </c>
      <c r="C29" s="96" t="inlineStr">
        <is>
          <t>O2-S1-EA</t>
        </is>
      </c>
      <c r="D29" s="96" t="n">
        <v>1</v>
      </c>
      <c r="E29" s="96" t="inlineStr">
        <is>
          <t>鼠标</t>
        </is>
      </c>
      <c r="F29" s="96" t="inlineStr">
        <is>
          <t>blue_mouse</t>
        </is>
      </c>
      <c r="G29" s="96" t="inlineStr">
        <is>
          <t>方法A</t>
        </is>
      </c>
      <c r="H29" s="96" t="inlineStr">
        <is>
          <t>EgoAnchor</t>
        </is>
      </c>
      <c r="I29" s="96" t="n">
        <v>1</v>
      </c>
      <c r="J29" s="96" t="n">
        <v>1</v>
      </c>
      <c r="K29" s="85" t="n"/>
      <c r="L29" s="85" t="n"/>
      <c r="M29" s="85" t="n"/>
      <c r="N29" s="7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328" t="n"/>
      <c r="Z29" s="328" t="n"/>
      <c r="AA29" s="85" t="n"/>
      <c r="AB29" s="85" t="n"/>
      <c r="AC29" s="85" t="n"/>
      <c r="AD29" s="85" t="n"/>
      <c r="AE29" s="85" t="n"/>
      <c r="AF29" s="78" t="n"/>
      <c r="AG29" s="78" t="n"/>
      <c r="AH29" s="78" t="n"/>
      <c r="AI29" s="78" t="n"/>
      <c r="AJ29" s="78" t="n"/>
      <c r="AK29" s="78" t="n"/>
      <c r="AL29" s="78" t="n"/>
      <c r="AM29" s="78" t="n"/>
      <c r="AN29" s="78" t="n"/>
      <c r="AO29" s="218" t="n"/>
    </row>
    <row r="30" ht="24" customHeight="1">
      <c r="A30" s="65" t="inlineStr">
        <is>
          <t>P005</t>
        </is>
      </c>
      <c r="B30" s="96" t="n">
        <v>2</v>
      </c>
      <c r="C30" s="96" t="inlineStr">
        <is>
          <t>O2-S1-EA</t>
        </is>
      </c>
      <c r="D30" s="96" t="n">
        <v>1</v>
      </c>
      <c r="E30" s="96" t="inlineStr">
        <is>
          <t>鼠标</t>
        </is>
      </c>
      <c r="F30" s="96" t="inlineStr">
        <is>
          <t>blue_mouse</t>
        </is>
      </c>
      <c r="G30" s="96" t="inlineStr">
        <is>
          <t>方法B</t>
        </is>
      </c>
      <c r="H30" s="96" t="inlineStr">
        <is>
          <t>One-Euro</t>
        </is>
      </c>
      <c r="I30" s="96" t="n">
        <v>2</v>
      </c>
      <c r="J30" s="96" t="n">
        <v>1</v>
      </c>
      <c r="K30" s="85" t="n"/>
      <c r="L30" s="85" t="n"/>
      <c r="M30" s="85" t="n"/>
      <c r="N30" s="7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328" t="n"/>
      <c r="Z30" s="328" t="n"/>
      <c r="AA30" s="85" t="n"/>
      <c r="AB30" s="85" t="n"/>
      <c r="AC30" s="85" t="n"/>
      <c r="AD30" s="85" t="n"/>
      <c r="AE30" s="85" t="n"/>
      <c r="AF30" s="78" t="n"/>
      <c r="AG30" s="78" t="n"/>
      <c r="AH30" s="78" t="n"/>
      <c r="AI30" s="78" t="n"/>
      <c r="AJ30" s="78" t="n"/>
      <c r="AK30" s="78" t="n"/>
      <c r="AL30" s="78" t="n"/>
      <c r="AM30" s="78" t="n"/>
      <c r="AN30" s="78" t="n"/>
      <c r="AO30" s="218" t="n"/>
    </row>
    <row r="31" ht="24" customHeight="1">
      <c r="A31" s="65" t="inlineStr">
        <is>
          <t>P005</t>
        </is>
      </c>
      <c r="B31" s="96" t="n">
        <v>3</v>
      </c>
      <c r="C31" s="96" t="inlineStr">
        <is>
          <t>O2-S1-EA</t>
        </is>
      </c>
      <c r="D31" s="96" t="n">
        <v>2</v>
      </c>
      <c r="E31" s="96" t="inlineStr">
        <is>
          <t>游戏手柄</t>
        </is>
      </c>
      <c r="F31" s="96" t="inlineStr">
        <is>
          <t>gamepad</t>
        </is>
      </c>
      <c r="G31" s="96" t="inlineStr">
        <is>
          <t>方法B</t>
        </is>
      </c>
      <c r="H31" s="96" t="inlineStr">
        <is>
          <t>One-Euro</t>
        </is>
      </c>
      <c r="I31" s="96" t="n">
        <v>1</v>
      </c>
      <c r="J31" s="96" t="n">
        <v>2</v>
      </c>
      <c r="K31" s="85" t="n"/>
      <c r="L31" s="85" t="n"/>
      <c r="M31" s="85" t="n"/>
      <c r="N31" s="7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328" t="n"/>
      <c r="Z31" s="328" t="n"/>
      <c r="AA31" s="85" t="n"/>
      <c r="AB31" s="85" t="n"/>
      <c r="AC31" s="85" t="n"/>
      <c r="AD31" s="85" t="n"/>
      <c r="AE31" s="85" t="n"/>
      <c r="AF31" s="78" t="n"/>
      <c r="AG31" s="78" t="n"/>
      <c r="AH31" s="78" t="n"/>
      <c r="AI31" s="78" t="n"/>
      <c r="AJ31" s="78" t="n"/>
      <c r="AK31" s="78" t="n"/>
      <c r="AL31" s="78" t="n"/>
      <c r="AM31" s="78" t="n"/>
      <c r="AN31" s="78" t="n"/>
      <c r="AO31" s="218" t="n"/>
    </row>
    <row r="32" ht="24" customHeight="1">
      <c r="A32" s="65" t="inlineStr">
        <is>
          <t>P005</t>
        </is>
      </c>
      <c r="B32" s="96" t="n">
        <v>4</v>
      </c>
      <c r="C32" s="96" t="inlineStr">
        <is>
          <t>O2-S1-EA</t>
        </is>
      </c>
      <c r="D32" s="96" t="n">
        <v>2</v>
      </c>
      <c r="E32" s="96" t="inlineStr">
        <is>
          <t>游戏手柄</t>
        </is>
      </c>
      <c r="F32" s="96" t="inlineStr">
        <is>
          <t>gamepad</t>
        </is>
      </c>
      <c r="G32" s="96" t="inlineStr">
        <is>
          <t>方法A</t>
        </is>
      </c>
      <c r="H32" s="96" t="inlineStr">
        <is>
          <t>EgoAnchor</t>
        </is>
      </c>
      <c r="I32" s="96" t="n">
        <v>2</v>
      </c>
      <c r="J32" s="96" t="n">
        <v>2</v>
      </c>
      <c r="K32" s="85" t="n"/>
      <c r="L32" s="85" t="n"/>
      <c r="M32" s="85" t="n"/>
      <c r="N32" s="7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328" t="n"/>
      <c r="Z32" s="328" t="n"/>
      <c r="AA32" s="85" t="n"/>
      <c r="AB32" s="85" t="n"/>
      <c r="AC32" s="85" t="n"/>
      <c r="AD32" s="85" t="n"/>
      <c r="AE32" s="85" t="n"/>
      <c r="AF32" s="78" t="n"/>
      <c r="AG32" s="78" t="n"/>
      <c r="AH32" s="78" t="n"/>
      <c r="AI32" s="78" t="n"/>
      <c r="AJ32" s="78" t="n"/>
      <c r="AK32" s="78" t="n"/>
      <c r="AL32" s="78" t="n"/>
      <c r="AM32" s="78" t="n"/>
      <c r="AN32" s="78" t="n"/>
      <c r="AO32" s="218" t="n"/>
    </row>
    <row r="33" ht="24" customHeight="1">
      <c r="A33" s="65" t="inlineStr">
        <is>
          <t>P005</t>
        </is>
      </c>
      <c r="B33" s="96" t="n">
        <v>5</v>
      </c>
      <c r="C33" s="96" t="inlineStr">
        <is>
          <t>O2-S1-EA</t>
        </is>
      </c>
      <c r="D33" s="96" t="n">
        <v>3</v>
      </c>
      <c r="E33" s="96" t="inlineStr">
        <is>
          <t>固定订书机</t>
        </is>
      </c>
      <c r="F33" s="96" t="inlineStr">
        <is>
          <t>stapler</t>
        </is>
      </c>
      <c r="G33" s="96" t="inlineStr">
        <is>
          <t>方法A</t>
        </is>
      </c>
      <c r="H33" s="96" t="inlineStr">
        <is>
          <t>EgoAnchor</t>
        </is>
      </c>
      <c r="I33" s="96" t="n">
        <v>1</v>
      </c>
      <c r="J33" s="96" t="n">
        <v>3</v>
      </c>
      <c r="K33" s="85" t="n"/>
      <c r="L33" s="85" t="n"/>
      <c r="M33" s="85" t="n"/>
      <c r="N33" s="7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328" t="n"/>
      <c r="Z33" s="328" t="n"/>
      <c r="AA33" s="85" t="n"/>
      <c r="AB33" s="85" t="n"/>
      <c r="AC33" s="85" t="n"/>
      <c r="AD33" s="85" t="n"/>
      <c r="AE33" s="85" t="n"/>
      <c r="AF33" s="78" t="n"/>
      <c r="AG33" s="78" t="n"/>
      <c r="AH33" s="78" t="n"/>
      <c r="AI33" s="78" t="n"/>
      <c r="AJ33" s="78" t="n"/>
      <c r="AK33" s="78" t="n"/>
      <c r="AL33" s="78" t="n"/>
      <c r="AM33" s="78" t="n"/>
      <c r="AN33" s="78" t="n"/>
      <c r="AO33" s="218" t="n"/>
    </row>
    <row r="34" ht="24" customHeight="1">
      <c r="A34" s="262" t="inlineStr">
        <is>
          <t>P005</t>
        </is>
      </c>
      <c r="B34" s="263" t="n">
        <v>6</v>
      </c>
      <c r="C34" s="263" t="inlineStr">
        <is>
          <t>O2-S1-EA</t>
        </is>
      </c>
      <c r="D34" s="263" t="n">
        <v>3</v>
      </c>
      <c r="E34" s="263" t="inlineStr">
        <is>
          <t>固定订书机</t>
        </is>
      </c>
      <c r="F34" s="263" t="inlineStr">
        <is>
          <t>stapler</t>
        </is>
      </c>
      <c r="G34" s="263" t="inlineStr">
        <is>
          <t>方法B</t>
        </is>
      </c>
      <c r="H34" s="263" t="inlineStr">
        <is>
          <t>One-Euro</t>
        </is>
      </c>
      <c r="I34" s="263" t="n">
        <v>2</v>
      </c>
      <c r="J34" s="263" t="n">
        <v>3</v>
      </c>
      <c r="K34" s="266" t="n"/>
      <c r="L34" s="266" t="n"/>
      <c r="M34" s="266" t="n"/>
      <c r="N34" s="278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329" t="n"/>
      <c r="Z34" s="329" t="n"/>
      <c r="AA34" s="266" t="n"/>
      <c r="AB34" s="266" t="n"/>
      <c r="AC34" s="266" t="n"/>
      <c r="AD34" s="266" t="n"/>
      <c r="AE34" s="266" t="n"/>
      <c r="AF34" s="279" t="n"/>
      <c r="AG34" s="279" t="n"/>
      <c r="AH34" s="279" t="n"/>
      <c r="AI34" s="279" t="n"/>
      <c r="AJ34" s="279" t="n"/>
      <c r="AK34" s="279" t="n"/>
      <c r="AL34" s="279" t="n"/>
      <c r="AM34" s="279" t="n"/>
      <c r="AN34" s="279" t="n"/>
      <c r="AO34" s="279" t="n"/>
    </row>
    <row r="35" ht="24" customHeight="1">
      <c r="A35" s="65" t="inlineStr">
        <is>
          <t>P006</t>
        </is>
      </c>
      <c r="B35" s="96" t="n">
        <v>1</v>
      </c>
      <c r="C35" s="96" t="inlineStr">
        <is>
          <t>O2-S2-EA</t>
        </is>
      </c>
      <c r="D35" s="96" t="n">
        <v>1</v>
      </c>
      <c r="E35" s="96" t="inlineStr">
        <is>
          <t>鼠标</t>
        </is>
      </c>
      <c r="F35" s="96" t="inlineStr">
        <is>
          <t>blue_mouse</t>
        </is>
      </c>
      <c r="G35" s="96" t="inlineStr">
        <is>
          <t>方法B</t>
        </is>
      </c>
      <c r="H35" s="96" t="inlineStr">
        <is>
          <t>One-Euro</t>
        </is>
      </c>
      <c r="I35" s="96" t="n">
        <v>1</v>
      </c>
      <c r="J35" s="96" t="n">
        <v>1</v>
      </c>
      <c r="K35" s="85" t="n"/>
      <c r="L35" s="85" t="n"/>
      <c r="M35" s="85" t="n"/>
      <c r="N35" s="7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328" t="n"/>
      <c r="Z35" s="328" t="n"/>
      <c r="AA35" s="85" t="n"/>
      <c r="AB35" s="85" t="n"/>
      <c r="AC35" s="85" t="n"/>
      <c r="AD35" s="85" t="n"/>
      <c r="AE35" s="85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218" t="n"/>
    </row>
    <row r="36" ht="24" customHeight="1">
      <c r="A36" s="65" t="inlineStr">
        <is>
          <t>P006</t>
        </is>
      </c>
      <c r="B36" s="96" t="n">
        <v>2</v>
      </c>
      <c r="C36" s="96" t="inlineStr">
        <is>
          <t>O2-S2-EA</t>
        </is>
      </c>
      <c r="D36" s="96" t="n">
        <v>1</v>
      </c>
      <c r="E36" s="96" t="inlineStr">
        <is>
          <t>鼠标</t>
        </is>
      </c>
      <c r="F36" s="96" t="inlineStr">
        <is>
          <t>blue_mouse</t>
        </is>
      </c>
      <c r="G36" s="96" t="inlineStr">
        <is>
          <t>方法A</t>
        </is>
      </c>
      <c r="H36" s="96" t="inlineStr">
        <is>
          <t>EgoAnchor</t>
        </is>
      </c>
      <c r="I36" s="96" t="n">
        <v>2</v>
      </c>
      <c r="J36" s="96" t="n">
        <v>1</v>
      </c>
      <c r="K36" s="85" t="n"/>
      <c r="L36" s="85" t="n"/>
      <c r="M36" s="85" t="n"/>
      <c r="N36" s="7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328" t="n"/>
      <c r="Z36" s="328" t="n"/>
      <c r="AA36" s="85" t="n"/>
      <c r="AB36" s="85" t="n"/>
      <c r="AC36" s="85" t="n"/>
      <c r="AD36" s="85" t="n"/>
      <c r="AE36" s="85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218" t="n"/>
    </row>
    <row r="37" ht="24" customHeight="1">
      <c r="A37" s="65" t="inlineStr">
        <is>
          <t>P006</t>
        </is>
      </c>
      <c r="B37" s="96" t="n">
        <v>3</v>
      </c>
      <c r="C37" s="96" t="inlineStr">
        <is>
          <t>O2-S2-EA</t>
        </is>
      </c>
      <c r="D37" s="96" t="n">
        <v>2</v>
      </c>
      <c r="E37" s="96" t="inlineStr">
        <is>
          <t>游戏手柄</t>
        </is>
      </c>
      <c r="F37" s="96" t="inlineStr">
        <is>
          <t>gamepad</t>
        </is>
      </c>
      <c r="G37" s="96" t="inlineStr">
        <is>
          <t>方法A</t>
        </is>
      </c>
      <c r="H37" s="96" t="inlineStr">
        <is>
          <t>EgoAnchor</t>
        </is>
      </c>
      <c r="I37" s="96" t="n">
        <v>1</v>
      </c>
      <c r="J37" s="96" t="n">
        <v>2</v>
      </c>
      <c r="K37" s="85" t="n"/>
      <c r="L37" s="85" t="n"/>
      <c r="M37" s="85" t="n"/>
      <c r="N37" s="7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328" t="n"/>
      <c r="Z37" s="328" t="n"/>
      <c r="AA37" s="85" t="n"/>
      <c r="AB37" s="85" t="n"/>
      <c r="AC37" s="85" t="n"/>
      <c r="AD37" s="85" t="n"/>
      <c r="AE37" s="85" t="n"/>
      <c r="AF37" s="78" t="n"/>
      <c r="AG37" s="78" t="n"/>
      <c r="AH37" s="78" t="n"/>
      <c r="AI37" s="78" t="n"/>
      <c r="AJ37" s="78" t="n"/>
      <c r="AK37" s="78" t="n"/>
      <c r="AL37" s="78" t="n"/>
      <c r="AM37" s="78" t="n"/>
      <c r="AN37" s="78" t="n"/>
      <c r="AO37" s="218" t="n"/>
    </row>
    <row r="38" ht="24" customHeight="1">
      <c r="A38" s="65" t="inlineStr">
        <is>
          <t>P006</t>
        </is>
      </c>
      <c r="B38" s="96" t="n">
        <v>4</v>
      </c>
      <c r="C38" s="96" t="inlineStr">
        <is>
          <t>O2-S2-EA</t>
        </is>
      </c>
      <c r="D38" s="96" t="n">
        <v>2</v>
      </c>
      <c r="E38" s="96" t="inlineStr">
        <is>
          <t>游戏手柄</t>
        </is>
      </c>
      <c r="F38" s="96" t="inlineStr">
        <is>
          <t>gamepad</t>
        </is>
      </c>
      <c r="G38" s="96" t="inlineStr">
        <is>
          <t>方法B</t>
        </is>
      </c>
      <c r="H38" s="96" t="inlineStr">
        <is>
          <t>One-Euro</t>
        </is>
      </c>
      <c r="I38" s="96" t="n">
        <v>2</v>
      </c>
      <c r="J38" s="96" t="n">
        <v>2</v>
      </c>
      <c r="K38" s="85" t="n"/>
      <c r="L38" s="85" t="n"/>
      <c r="M38" s="85" t="n"/>
      <c r="N38" s="7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328" t="n"/>
      <c r="Z38" s="328" t="n"/>
      <c r="AA38" s="85" t="n"/>
      <c r="AB38" s="85" t="n"/>
      <c r="AC38" s="85" t="n"/>
      <c r="AD38" s="85" t="n"/>
      <c r="AE38" s="85" t="n"/>
      <c r="AF38" s="78" t="n"/>
      <c r="AG38" s="78" t="n"/>
      <c r="AH38" s="78" t="n"/>
      <c r="AI38" s="78" t="n"/>
      <c r="AJ38" s="78" t="n"/>
      <c r="AK38" s="78" t="n"/>
      <c r="AL38" s="78" t="n"/>
      <c r="AM38" s="78" t="n"/>
      <c r="AN38" s="78" t="n"/>
      <c r="AO38" s="218" t="n"/>
    </row>
    <row r="39" ht="24" customHeight="1">
      <c r="A39" s="65" t="inlineStr">
        <is>
          <t>P006</t>
        </is>
      </c>
      <c r="B39" s="96" t="n">
        <v>5</v>
      </c>
      <c r="C39" s="96" t="inlineStr">
        <is>
          <t>O2-S2-EA</t>
        </is>
      </c>
      <c r="D39" s="96" t="n">
        <v>3</v>
      </c>
      <c r="E39" s="96" t="inlineStr">
        <is>
          <t>固定订书机</t>
        </is>
      </c>
      <c r="F39" s="96" t="inlineStr">
        <is>
          <t>stapler</t>
        </is>
      </c>
      <c r="G39" s="96" t="inlineStr">
        <is>
          <t>方法B</t>
        </is>
      </c>
      <c r="H39" s="96" t="inlineStr">
        <is>
          <t>One-Euro</t>
        </is>
      </c>
      <c r="I39" s="96" t="n">
        <v>1</v>
      </c>
      <c r="J39" s="96" t="n">
        <v>3</v>
      </c>
      <c r="K39" s="85" t="n"/>
      <c r="L39" s="85" t="n"/>
      <c r="M39" s="85" t="n"/>
      <c r="N39" s="7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328" t="n"/>
      <c r="Z39" s="328" t="n"/>
      <c r="AA39" s="85" t="n"/>
      <c r="AB39" s="85" t="n"/>
      <c r="AC39" s="85" t="n"/>
      <c r="AD39" s="85" t="n"/>
      <c r="AE39" s="85" t="n"/>
      <c r="AF39" s="78" t="n"/>
      <c r="AG39" s="78" t="n"/>
      <c r="AH39" s="78" t="n"/>
      <c r="AI39" s="78" t="n"/>
      <c r="AJ39" s="78" t="n"/>
      <c r="AK39" s="78" t="n"/>
      <c r="AL39" s="78" t="n"/>
      <c r="AM39" s="78" t="n"/>
      <c r="AN39" s="78" t="n"/>
      <c r="AO39" s="218" t="n"/>
    </row>
    <row r="40" ht="24" customHeight="1">
      <c r="A40" s="262" t="inlineStr">
        <is>
          <t>P006</t>
        </is>
      </c>
      <c r="B40" s="263" t="n">
        <v>6</v>
      </c>
      <c r="C40" s="263" t="inlineStr">
        <is>
          <t>O2-S2-EA</t>
        </is>
      </c>
      <c r="D40" s="263" t="n">
        <v>3</v>
      </c>
      <c r="E40" s="263" t="inlineStr">
        <is>
          <t>固定订书机</t>
        </is>
      </c>
      <c r="F40" s="263" t="inlineStr">
        <is>
          <t>stapler</t>
        </is>
      </c>
      <c r="G40" s="263" t="inlineStr">
        <is>
          <t>方法A</t>
        </is>
      </c>
      <c r="H40" s="263" t="inlineStr">
        <is>
          <t>EgoAnchor</t>
        </is>
      </c>
      <c r="I40" s="263" t="n">
        <v>2</v>
      </c>
      <c r="J40" s="263" t="n">
        <v>3</v>
      </c>
      <c r="K40" s="266" t="n"/>
      <c r="L40" s="266" t="n"/>
      <c r="M40" s="266" t="n"/>
      <c r="N40" s="278" t="n"/>
      <c r="O40" s="266" t="n"/>
      <c r="P40" s="266" t="n"/>
      <c r="Q40" s="266" t="n"/>
      <c r="R40" s="266" t="n"/>
      <c r="S40" s="266" t="n"/>
      <c r="T40" s="266" t="n"/>
      <c r="U40" s="266" t="n"/>
      <c r="V40" s="266" t="n"/>
      <c r="W40" s="266" t="n"/>
      <c r="X40" s="266" t="n"/>
      <c r="Y40" s="329" t="n"/>
      <c r="Z40" s="329" t="n"/>
      <c r="AA40" s="266" t="n"/>
      <c r="AB40" s="266" t="n"/>
      <c r="AC40" s="266" t="n"/>
      <c r="AD40" s="266" t="n"/>
      <c r="AE40" s="266" t="n"/>
      <c r="AF40" s="279" t="n"/>
      <c r="AG40" s="279" t="n"/>
      <c r="AH40" s="279" t="n"/>
      <c r="AI40" s="279" t="n"/>
      <c r="AJ40" s="279" t="n"/>
      <c r="AK40" s="279" t="n"/>
      <c r="AL40" s="279" t="n"/>
      <c r="AM40" s="279" t="n"/>
      <c r="AN40" s="279" t="n"/>
      <c r="AO40" s="279" t="n"/>
    </row>
    <row r="41" ht="24" customHeight="1">
      <c r="A41" s="65" t="inlineStr">
        <is>
          <t>P007</t>
        </is>
      </c>
      <c r="B41" s="96" t="n">
        <v>1</v>
      </c>
      <c r="C41" s="96" t="inlineStr">
        <is>
          <t>O2-S2-OE</t>
        </is>
      </c>
      <c r="D41" s="96" t="n">
        <v>1</v>
      </c>
      <c r="E41" s="96" t="inlineStr">
        <is>
          <t>鼠标</t>
        </is>
      </c>
      <c r="F41" s="96" t="inlineStr">
        <is>
          <t>blue_mouse</t>
        </is>
      </c>
      <c r="G41" s="96" t="inlineStr">
        <is>
          <t>方法B</t>
        </is>
      </c>
      <c r="H41" s="96" t="inlineStr">
        <is>
          <t>EgoAnchor</t>
        </is>
      </c>
      <c r="I41" s="96" t="n">
        <v>1</v>
      </c>
      <c r="J41" s="96" t="n">
        <v>1</v>
      </c>
      <c r="K41" s="85" t="n"/>
      <c r="L41" s="85" t="n"/>
      <c r="M41" s="85" t="n"/>
      <c r="N41" s="7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328" t="n"/>
      <c r="Z41" s="328" t="n"/>
      <c r="AA41" s="85" t="n"/>
      <c r="AB41" s="85" t="n"/>
      <c r="AC41" s="85" t="n"/>
      <c r="AD41" s="85" t="n"/>
      <c r="AE41" s="85" t="n"/>
      <c r="AF41" s="78" t="n"/>
      <c r="AG41" s="78" t="n"/>
      <c r="AH41" s="78" t="n"/>
      <c r="AI41" s="78" t="n"/>
      <c r="AJ41" s="78" t="n"/>
      <c r="AK41" s="78" t="n"/>
      <c r="AL41" s="78" t="n"/>
      <c r="AM41" s="78" t="n"/>
      <c r="AN41" s="78" t="n"/>
      <c r="AO41" s="218" t="n"/>
    </row>
    <row r="42" ht="24" customHeight="1">
      <c r="A42" s="65" t="inlineStr">
        <is>
          <t>P007</t>
        </is>
      </c>
      <c r="B42" s="96" t="n">
        <v>2</v>
      </c>
      <c r="C42" s="96" t="inlineStr">
        <is>
          <t>O2-S2-OE</t>
        </is>
      </c>
      <c r="D42" s="96" t="n">
        <v>1</v>
      </c>
      <c r="E42" s="96" t="inlineStr">
        <is>
          <t>鼠标</t>
        </is>
      </c>
      <c r="F42" s="96" t="inlineStr">
        <is>
          <t>blue_mouse</t>
        </is>
      </c>
      <c r="G42" s="96" t="inlineStr">
        <is>
          <t>方法A</t>
        </is>
      </c>
      <c r="H42" s="96" t="inlineStr">
        <is>
          <t>One-Euro</t>
        </is>
      </c>
      <c r="I42" s="96" t="n">
        <v>2</v>
      </c>
      <c r="J42" s="96" t="n">
        <v>1</v>
      </c>
      <c r="K42" s="85" t="n"/>
      <c r="L42" s="85" t="n"/>
      <c r="M42" s="85" t="n"/>
      <c r="N42" s="7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328" t="n"/>
      <c r="Z42" s="328" t="n"/>
      <c r="AA42" s="85" t="n"/>
      <c r="AB42" s="85" t="n"/>
      <c r="AC42" s="85" t="n"/>
      <c r="AD42" s="85" t="n"/>
      <c r="AE42" s="85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218" t="n"/>
    </row>
    <row r="43" ht="24" customHeight="1">
      <c r="A43" s="65" t="inlineStr">
        <is>
          <t>P007</t>
        </is>
      </c>
      <c r="B43" s="96" t="n">
        <v>3</v>
      </c>
      <c r="C43" s="96" t="inlineStr">
        <is>
          <t>O2-S2-OE</t>
        </is>
      </c>
      <c r="D43" s="96" t="n">
        <v>2</v>
      </c>
      <c r="E43" s="96" t="inlineStr">
        <is>
          <t>游戏手柄</t>
        </is>
      </c>
      <c r="F43" s="96" t="inlineStr">
        <is>
          <t>gamepad</t>
        </is>
      </c>
      <c r="G43" s="96" t="inlineStr">
        <is>
          <t>方法A</t>
        </is>
      </c>
      <c r="H43" s="96" t="inlineStr">
        <is>
          <t>One-Euro</t>
        </is>
      </c>
      <c r="I43" s="96" t="n">
        <v>1</v>
      </c>
      <c r="J43" s="96" t="n">
        <v>2</v>
      </c>
      <c r="K43" s="85" t="n"/>
      <c r="L43" s="85" t="n"/>
      <c r="M43" s="85" t="n"/>
      <c r="N43" s="7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328" t="n"/>
      <c r="Z43" s="328" t="n"/>
      <c r="AA43" s="85" t="n"/>
      <c r="AB43" s="85" t="n"/>
      <c r="AC43" s="85" t="n"/>
      <c r="AD43" s="85" t="n"/>
      <c r="AE43" s="85" t="n"/>
      <c r="AF43" s="78" t="n"/>
      <c r="AG43" s="78" t="n"/>
      <c r="AH43" s="78" t="n"/>
      <c r="AI43" s="78" t="n"/>
      <c r="AJ43" s="78" t="n"/>
      <c r="AK43" s="78" t="n"/>
      <c r="AL43" s="78" t="n"/>
      <c r="AM43" s="78" t="n"/>
      <c r="AN43" s="78" t="n"/>
      <c r="AO43" s="218" t="n"/>
    </row>
    <row r="44" ht="24" customHeight="1">
      <c r="A44" s="65" t="inlineStr">
        <is>
          <t>P007</t>
        </is>
      </c>
      <c r="B44" s="96" t="n">
        <v>4</v>
      </c>
      <c r="C44" s="96" t="inlineStr">
        <is>
          <t>O2-S2-OE</t>
        </is>
      </c>
      <c r="D44" s="96" t="n">
        <v>2</v>
      </c>
      <c r="E44" s="96" t="inlineStr">
        <is>
          <t>游戏手柄</t>
        </is>
      </c>
      <c r="F44" s="96" t="inlineStr">
        <is>
          <t>gamepad</t>
        </is>
      </c>
      <c r="G44" s="96" t="inlineStr">
        <is>
          <t>方法B</t>
        </is>
      </c>
      <c r="H44" s="96" t="inlineStr">
        <is>
          <t>EgoAnchor</t>
        </is>
      </c>
      <c r="I44" s="96" t="n">
        <v>2</v>
      </c>
      <c r="J44" s="96" t="n">
        <v>2</v>
      </c>
      <c r="K44" s="85" t="n"/>
      <c r="L44" s="85" t="n"/>
      <c r="M44" s="85" t="n"/>
      <c r="N44" s="7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328" t="n"/>
      <c r="Z44" s="328" t="n"/>
      <c r="AA44" s="85" t="n"/>
      <c r="AB44" s="85" t="n"/>
      <c r="AC44" s="85" t="n"/>
      <c r="AD44" s="85" t="n"/>
      <c r="AE44" s="85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218" t="n"/>
    </row>
    <row r="45" ht="24" customHeight="1">
      <c r="A45" s="65" t="inlineStr">
        <is>
          <t>P007</t>
        </is>
      </c>
      <c r="B45" s="96" t="n">
        <v>5</v>
      </c>
      <c r="C45" s="96" t="inlineStr">
        <is>
          <t>O2-S2-OE</t>
        </is>
      </c>
      <c r="D45" s="96" t="n">
        <v>3</v>
      </c>
      <c r="E45" s="96" t="inlineStr">
        <is>
          <t>固定订书机</t>
        </is>
      </c>
      <c r="F45" s="96" t="inlineStr">
        <is>
          <t>stapler</t>
        </is>
      </c>
      <c r="G45" s="96" t="inlineStr">
        <is>
          <t>方法B</t>
        </is>
      </c>
      <c r="H45" s="96" t="inlineStr">
        <is>
          <t>EgoAnchor</t>
        </is>
      </c>
      <c r="I45" s="96" t="n">
        <v>1</v>
      </c>
      <c r="J45" s="96" t="n">
        <v>3</v>
      </c>
      <c r="K45" s="85" t="n"/>
      <c r="L45" s="85" t="n"/>
      <c r="M45" s="85" t="n"/>
      <c r="N45" s="7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328" t="n"/>
      <c r="Z45" s="328" t="n"/>
      <c r="AA45" s="85" t="n"/>
      <c r="AB45" s="85" t="n"/>
      <c r="AC45" s="85" t="n"/>
      <c r="AD45" s="85" t="n"/>
      <c r="AE45" s="85" t="n"/>
      <c r="AF45" s="78" t="n"/>
      <c r="AG45" s="78" t="n"/>
      <c r="AH45" s="78" t="n"/>
      <c r="AI45" s="78" t="n"/>
      <c r="AJ45" s="78" t="n"/>
      <c r="AK45" s="78" t="n"/>
      <c r="AL45" s="78" t="n"/>
      <c r="AM45" s="78" t="n"/>
      <c r="AN45" s="78" t="n"/>
      <c r="AO45" s="218" t="n"/>
    </row>
    <row r="46" ht="24" customHeight="1">
      <c r="A46" s="262" t="inlineStr">
        <is>
          <t>P007</t>
        </is>
      </c>
      <c r="B46" s="263" t="n">
        <v>6</v>
      </c>
      <c r="C46" s="263" t="inlineStr">
        <is>
          <t>O2-S2-OE</t>
        </is>
      </c>
      <c r="D46" s="263" t="n">
        <v>3</v>
      </c>
      <c r="E46" s="263" t="inlineStr">
        <is>
          <t>固定订书机</t>
        </is>
      </c>
      <c r="F46" s="263" t="inlineStr">
        <is>
          <t>stapler</t>
        </is>
      </c>
      <c r="G46" s="263" t="inlineStr">
        <is>
          <t>方法A</t>
        </is>
      </c>
      <c r="H46" s="263" t="inlineStr">
        <is>
          <t>One-Euro</t>
        </is>
      </c>
      <c r="I46" s="263" t="n">
        <v>2</v>
      </c>
      <c r="J46" s="263" t="n">
        <v>3</v>
      </c>
      <c r="K46" s="266" t="n"/>
      <c r="L46" s="266" t="n"/>
      <c r="M46" s="266" t="n"/>
      <c r="N46" s="278" t="n"/>
      <c r="O46" s="266" t="n"/>
      <c r="P46" s="266" t="n"/>
      <c r="Q46" s="266" t="n"/>
      <c r="R46" s="266" t="n"/>
      <c r="S46" s="266" t="n"/>
      <c r="T46" s="266" t="n"/>
      <c r="U46" s="266" t="n"/>
      <c r="V46" s="266" t="n"/>
      <c r="W46" s="266" t="n"/>
      <c r="X46" s="266" t="n"/>
      <c r="Y46" s="329" t="n"/>
      <c r="Z46" s="329" t="n"/>
      <c r="AA46" s="266" t="n"/>
      <c r="AB46" s="266" t="n"/>
      <c r="AC46" s="266" t="n"/>
      <c r="AD46" s="266" t="n"/>
      <c r="AE46" s="266" t="n"/>
      <c r="AF46" s="279" t="n"/>
      <c r="AG46" s="279" t="n"/>
      <c r="AH46" s="279" t="n"/>
      <c r="AI46" s="279" t="n"/>
      <c r="AJ46" s="279" t="n"/>
      <c r="AK46" s="279" t="n"/>
      <c r="AL46" s="279" t="n"/>
      <c r="AM46" s="279" t="n"/>
      <c r="AN46" s="279" t="n"/>
      <c r="AO46" s="279" t="n"/>
    </row>
    <row r="47" ht="24" customHeight="1">
      <c r="A47" s="65" t="inlineStr">
        <is>
          <t>P008</t>
        </is>
      </c>
      <c r="B47" s="96" t="n">
        <v>1</v>
      </c>
      <c r="C47" s="96" t="inlineStr">
        <is>
          <t>O2-S1-OE</t>
        </is>
      </c>
      <c r="D47" s="96" t="n">
        <v>1</v>
      </c>
      <c r="E47" s="96" t="inlineStr">
        <is>
          <t>鼠标</t>
        </is>
      </c>
      <c r="F47" s="96" t="inlineStr">
        <is>
          <t>blue_mouse</t>
        </is>
      </c>
      <c r="G47" s="96" t="inlineStr">
        <is>
          <t>方法A</t>
        </is>
      </c>
      <c r="H47" s="96" t="inlineStr">
        <is>
          <t>One-Euro</t>
        </is>
      </c>
      <c r="I47" s="96" t="n">
        <v>1</v>
      </c>
      <c r="J47" s="96" t="n">
        <v>1</v>
      </c>
      <c r="K47" s="85" t="n"/>
      <c r="L47" s="85" t="n"/>
      <c r="M47" s="85" t="n"/>
      <c r="N47" s="7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328" t="n"/>
      <c r="Z47" s="328" t="n"/>
      <c r="AA47" s="85" t="n"/>
      <c r="AB47" s="85" t="n"/>
      <c r="AC47" s="85" t="n"/>
      <c r="AD47" s="85" t="n"/>
      <c r="AE47" s="85" t="n"/>
      <c r="AF47" s="78" t="n"/>
      <c r="AG47" s="78" t="n"/>
      <c r="AH47" s="78" t="n"/>
      <c r="AI47" s="78" t="n"/>
      <c r="AJ47" s="78" t="n"/>
      <c r="AK47" s="78" t="n"/>
      <c r="AL47" s="78" t="n"/>
      <c r="AM47" s="78" t="n"/>
      <c r="AN47" s="78" t="n"/>
      <c r="AO47" s="218" t="n"/>
    </row>
    <row r="48" ht="24" customHeight="1">
      <c r="A48" s="65" t="inlineStr">
        <is>
          <t>P008</t>
        </is>
      </c>
      <c r="B48" s="96" t="n">
        <v>2</v>
      </c>
      <c r="C48" s="96" t="inlineStr">
        <is>
          <t>O2-S1-OE</t>
        </is>
      </c>
      <c r="D48" s="96" t="n">
        <v>1</v>
      </c>
      <c r="E48" s="96" t="inlineStr">
        <is>
          <t>鼠标</t>
        </is>
      </c>
      <c r="F48" s="96" t="inlineStr">
        <is>
          <t>blue_mouse</t>
        </is>
      </c>
      <c r="G48" s="96" t="inlineStr">
        <is>
          <t>方法B</t>
        </is>
      </c>
      <c r="H48" s="96" t="inlineStr">
        <is>
          <t>EgoAnchor</t>
        </is>
      </c>
      <c r="I48" s="96" t="n">
        <v>2</v>
      </c>
      <c r="J48" s="96" t="n">
        <v>1</v>
      </c>
      <c r="K48" s="85" t="n"/>
      <c r="L48" s="85" t="n"/>
      <c r="M48" s="85" t="n"/>
      <c r="N48" s="7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328" t="n"/>
      <c r="Z48" s="328" t="n"/>
      <c r="AA48" s="85" t="n"/>
      <c r="AB48" s="85" t="n"/>
      <c r="AC48" s="85" t="n"/>
      <c r="AD48" s="85" t="n"/>
      <c r="AE48" s="85" t="n"/>
      <c r="AF48" s="78" t="n"/>
      <c r="AG48" s="78" t="n"/>
      <c r="AH48" s="78" t="n"/>
      <c r="AI48" s="78" t="n"/>
      <c r="AJ48" s="78" t="n"/>
      <c r="AK48" s="78" t="n"/>
      <c r="AL48" s="78" t="n"/>
      <c r="AM48" s="78" t="n"/>
      <c r="AN48" s="78" t="n"/>
      <c r="AO48" s="218" t="n"/>
    </row>
    <row r="49" ht="24" customHeight="1">
      <c r="A49" s="65" t="inlineStr">
        <is>
          <t>P008</t>
        </is>
      </c>
      <c r="B49" s="96" t="n">
        <v>3</v>
      </c>
      <c r="C49" s="96" t="inlineStr">
        <is>
          <t>O2-S1-OE</t>
        </is>
      </c>
      <c r="D49" s="96" t="n">
        <v>2</v>
      </c>
      <c r="E49" s="96" t="inlineStr">
        <is>
          <t>游戏手柄</t>
        </is>
      </c>
      <c r="F49" s="96" t="inlineStr">
        <is>
          <t>gamepad</t>
        </is>
      </c>
      <c r="G49" s="96" t="inlineStr">
        <is>
          <t>方法B</t>
        </is>
      </c>
      <c r="H49" s="96" t="inlineStr">
        <is>
          <t>EgoAnchor</t>
        </is>
      </c>
      <c r="I49" s="96" t="n">
        <v>1</v>
      </c>
      <c r="J49" s="96" t="n">
        <v>2</v>
      </c>
      <c r="K49" s="85" t="n"/>
      <c r="L49" s="85" t="n"/>
      <c r="M49" s="85" t="n"/>
      <c r="N49" s="7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328" t="n"/>
      <c r="Z49" s="328" t="n"/>
      <c r="AA49" s="85" t="n"/>
      <c r="AB49" s="85" t="n"/>
      <c r="AC49" s="85" t="n"/>
      <c r="AD49" s="85" t="n"/>
      <c r="AE49" s="85" t="n"/>
      <c r="AF49" s="78" t="n"/>
      <c r="AG49" s="78" t="n"/>
      <c r="AH49" s="78" t="n"/>
      <c r="AI49" s="78" t="n"/>
      <c r="AJ49" s="78" t="n"/>
      <c r="AK49" s="78" t="n"/>
      <c r="AL49" s="78" t="n"/>
      <c r="AM49" s="78" t="n"/>
      <c r="AN49" s="78" t="n"/>
      <c r="AO49" s="218" t="n"/>
    </row>
    <row r="50" ht="24" customHeight="1">
      <c r="A50" s="65" t="inlineStr">
        <is>
          <t>P008</t>
        </is>
      </c>
      <c r="B50" s="96" t="n">
        <v>4</v>
      </c>
      <c r="C50" s="96" t="inlineStr">
        <is>
          <t>O2-S1-OE</t>
        </is>
      </c>
      <c r="D50" s="96" t="n">
        <v>2</v>
      </c>
      <c r="E50" s="96" t="inlineStr">
        <is>
          <t>游戏手柄</t>
        </is>
      </c>
      <c r="F50" s="96" t="inlineStr">
        <is>
          <t>gamepad</t>
        </is>
      </c>
      <c r="G50" s="96" t="inlineStr">
        <is>
          <t>方法A</t>
        </is>
      </c>
      <c r="H50" s="96" t="inlineStr">
        <is>
          <t>One-Euro</t>
        </is>
      </c>
      <c r="I50" s="96" t="n">
        <v>2</v>
      </c>
      <c r="J50" s="96" t="n">
        <v>2</v>
      </c>
      <c r="K50" s="85" t="n"/>
      <c r="L50" s="85" t="n"/>
      <c r="M50" s="85" t="n"/>
      <c r="N50" s="7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328" t="n"/>
      <c r="Z50" s="328" t="n"/>
      <c r="AA50" s="85" t="n"/>
      <c r="AB50" s="85" t="n"/>
      <c r="AC50" s="85" t="n"/>
      <c r="AD50" s="85" t="n"/>
      <c r="AE50" s="85" t="n"/>
      <c r="AF50" s="78" t="n"/>
      <c r="AG50" s="78" t="n"/>
      <c r="AH50" s="78" t="n"/>
      <c r="AI50" s="78" t="n"/>
      <c r="AJ50" s="78" t="n"/>
      <c r="AK50" s="78" t="n"/>
      <c r="AL50" s="78" t="n"/>
      <c r="AM50" s="78" t="n"/>
      <c r="AN50" s="78" t="n"/>
      <c r="AO50" s="218" t="n"/>
    </row>
    <row r="51" ht="24" customHeight="1">
      <c r="A51" s="65" t="inlineStr">
        <is>
          <t>P008</t>
        </is>
      </c>
      <c r="B51" s="96" t="n">
        <v>5</v>
      </c>
      <c r="C51" s="96" t="inlineStr">
        <is>
          <t>O2-S1-OE</t>
        </is>
      </c>
      <c r="D51" s="96" t="n">
        <v>3</v>
      </c>
      <c r="E51" s="96" t="inlineStr">
        <is>
          <t>固定订书机</t>
        </is>
      </c>
      <c r="F51" s="96" t="inlineStr">
        <is>
          <t>stapler</t>
        </is>
      </c>
      <c r="G51" s="96" t="inlineStr">
        <is>
          <t>方法A</t>
        </is>
      </c>
      <c r="H51" s="96" t="inlineStr">
        <is>
          <t>One-Euro</t>
        </is>
      </c>
      <c r="I51" s="96" t="n">
        <v>1</v>
      </c>
      <c r="J51" s="96" t="n">
        <v>3</v>
      </c>
      <c r="K51" s="85" t="n"/>
      <c r="L51" s="85" t="n"/>
      <c r="M51" s="85" t="n"/>
      <c r="N51" s="7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328" t="n"/>
      <c r="Z51" s="328" t="n"/>
      <c r="AA51" s="85" t="n"/>
      <c r="AB51" s="85" t="n"/>
      <c r="AC51" s="85" t="n"/>
      <c r="AD51" s="85" t="n"/>
      <c r="AE51" s="85" t="n"/>
      <c r="AF51" s="78" t="n"/>
      <c r="AG51" s="78" t="n"/>
      <c r="AH51" s="78" t="n"/>
      <c r="AI51" s="78" t="n"/>
      <c r="AJ51" s="78" t="n"/>
      <c r="AK51" s="78" t="n"/>
      <c r="AL51" s="78" t="n"/>
      <c r="AM51" s="78" t="n"/>
      <c r="AN51" s="78" t="n"/>
      <c r="AO51" s="218" t="n"/>
    </row>
    <row r="52" ht="24" customHeight="1">
      <c r="A52" s="262" t="inlineStr">
        <is>
          <t>P008</t>
        </is>
      </c>
      <c r="B52" s="263" t="n">
        <v>6</v>
      </c>
      <c r="C52" s="263" t="inlineStr">
        <is>
          <t>O2-S1-OE</t>
        </is>
      </c>
      <c r="D52" s="263" t="n">
        <v>3</v>
      </c>
      <c r="E52" s="263" t="inlineStr">
        <is>
          <t>固定订书机</t>
        </is>
      </c>
      <c r="F52" s="263" t="inlineStr">
        <is>
          <t>stapler</t>
        </is>
      </c>
      <c r="G52" s="263" t="inlineStr">
        <is>
          <t>方法B</t>
        </is>
      </c>
      <c r="H52" s="263" t="inlineStr">
        <is>
          <t>EgoAnchor</t>
        </is>
      </c>
      <c r="I52" s="263" t="n">
        <v>2</v>
      </c>
      <c r="J52" s="263" t="n">
        <v>3</v>
      </c>
      <c r="K52" s="266" t="n"/>
      <c r="L52" s="266" t="n"/>
      <c r="M52" s="266" t="n"/>
      <c r="N52" s="278" t="n"/>
      <c r="O52" s="266" t="n"/>
      <c r="P52" s="266" t="n"/>
      <c r="Q52" s="266" t="n"/>
      <c r="R52" s="266" t="n"/>
      <c r="S52" s="266" t="n"/>
      <c r="T52" s="266" t="n"/>
      <c r="U52" s="266" t="n"/>
      <c r="V52" s="266" t="n"/>
      <c r="W52" s="266" t="n"/>
      <c r="X52" s="266" t="n"/>
      <c r="Y52" s="329" t="n"/>
      <c r="Z52" s="329" t="n"/>
      <c r="AA52" s="266" t="n"/>
      <c r="AB52" s="266" t="n"/>
      <c r="AC52" s="266" t="n"/>
      <c r="AD52" s="266" t="n"/>
      <c r="AE52" s="266" t="n"/>
      <c r="AF52" s="279" t="n"/>
      <c r="AG52" s="279" t="n"/>
      <c r="AH52" s="279" t="n"/>
      <c r="AI52" s="279" t="n"/>
      <c r="AJ52" s="279" t="n"/>
      <c r="AK52" s="279" t="n"/>
      <c r="AL52" s="279" t="n"/>
      <c r="AM52" s="279" t="n"/>
      <c r="AN52" s="279" t="n"/>
      <c r="AO52" s="279" t="n"/>
    </row>
    <row r="53" ht="24" customHeight="1">
      <c r="A53" s="65" t="inlineStr">
        <is>
          <t>P009</t>
        </is>
      </c>
      <c r="B53" s="96" t="n">
        <v>1</v>
      </c>
      <c r="C53" s="96" t="inlineStr">
        <is>
          <t>O3-S1-EA</t>
        </is>
      </c>
      <c r="D53" s="96" t="n">
        <v>1</v>
      </c>
      <c r="E53" s="96" t="inlineStr">
        <is>
          <t>固定订书机</t>
        </is>
      </c>
      <c r="F53" s="96" t="inlineStr">
        <is>
          <t>stapler</t>
        </is>
      </c>
      <c r="G53" s="96" t="inlineStr">
        <is>
          <t>方法A</t>
        </is>
      </c>
      <c r="H53" s="96" t="inlineStr">
        <is>
          <t>EgoAnchor</t>
        </is>
      </c>
      <c r="I53" s="96" t="n">
        <v>1</v>
      </c>
      <c r="J53" s="96" t="n">
        <v>1</v>
      </c>
      <c r="K53" s="85" t="n"/>
      <c r="L53" s="85" t="n"/>
      <c r="M53" s="85" t="n"/>
      <c r="N53" s="7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328" t="n"/>
      <c r="Z53" s="328" t="n"/>
      <c r="AA53" s="85" t="n"/>
      <c r="AB53" s="85" t="n"/>
      <c r="AC53" s="85" t="n"/>
      <c r="AD53" s="85" t="n"/>
      <c r="AE53" s="85" t="n"/>
      <c r="AF53" s="78" t="n"/>
      <c r="AG53" s="78" t="n"/>
      <c r="AH53" s="78" t="n"/>
      <c r="AI53" s="78" t="n"/>
      <c r="AJ53" s="78" t="n"/>
      <c r="AK53" s="78" t="n"/>
      <c r="AL53" s="78" t="n"/>
      <c r="AM53" s="78" t="n"/>
      <c r="AN53" s="78" t="n"/>
      <c r="AO53" s="218" t="n"/>
    </row>
    <row r="54" ht="24" customHeight="1">
      <c r="A54" s="65" t="inlineStr">
        <is>
          <t>P009</t>
        </is>
      </c>
      <c r="B54" s="96" t="n">
        <v>2</v>
      </c>
      <c r="C54" s="96" t="inlineStr">
        <is>
          <t>O3-S1-EA</t>
        </is>
      </c>
      <c r="D54" s="96" t="n">
        <v>1</v>
      </c>
      <c r="E54" s="96" t="inlineStr">
        <is>
          <t>固定订书机</t>
        </is>
      </c>
      <c r="F54" s="96" t="inlineStr">
        <is>
          <t>stapler</t>
        </is>
      </c>
      <c r="G54" s="96" t="inlineStr">
        <is>
          <t>方法B</t>
        </is>
      </c>
      <c r="H54" s="96" t="inlineStr">
        <is>
          <t>One-Euro</t>
        </is>
      </c>
      <c r="I54" s="96" t="n">
        <v>2</v>
      </c>
      <c r="J54" s="96" t="n">
        <v>1</v>
      </c>
      <c r="K54" s="85" t="n"/>
      <c r="L54" s="85" t="n"/>
      <c r="M54" s="85" t="n"/>
      <c r="N54" s="7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328" t="n"/>
      <c r="Z54" s="328" t="n"/>
      <c r="AA54" s="85" t="n"/>
      <c r="AB54" s="85" t="n"/>
      <c r="AC54" s="85" t="n"/>
      <c r="AD54" s="85" t="n"/>
      <c r="AE54" s="85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218" t="n"/>
    </row>
    <row r="55" ht="24" customHeight="1">
      <c r="A55" s="65" t="inlineStr">
        <is>
          <t>P009</t>
        </is>
      </c>
      <c r="B55" s="96" t="n">
        <v>3</v>
      </c>
      <c r="C55" s="96" t="inlineStr">
        <is>
          <t>O3-S1-EA</t>
        </is>
      </c>
      <c r="D55" s="96" t="n">
        <v>2</v>
      </c>
      <c r="E55" s="96" t="inlineStr">
        <is>
          <t>鼠标</t>
        </is>
      </c>
      <c r="F55" s="96" t="inlineStr">
        <is>
          <t>blue_mouse</t>
        </is>
      </c>
      <c r="G55" s="96" t="inlineStr">
        <is>
          <t>方法B</t>
        </is>
      </c>
      <c r="H55" s="96" t="inlineStr">
        <is>
          <t>One-Euro</t>
        </is>
      </c>
      <c r="I55" s="96" t="n">
        <v>1</v>
      </c>
      <c r="J55" s="96" t="n">
        <v>2</v>
      </c>
      <c r="K55" s="85" t="n"/>
      <c r="L55" s="85" t="n"/>
      <c r="M55" s="85" t="n"/>
      <c r="N55" s="7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328" t="n"/>
      <c r="Z55" s="328" t="n"/>
      <c r="AA55" s="85" t="n"/>
      <c r="AB55" s="85" t="n"/>
      <c r="AC55" s="85" t="n"/>
      <c r="AD55" s="85" t="n"/>
      <c r="AE55" s="85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218" t="n"/>
    </row>
    <row r="56" ht="24" customHeight="1">
      <c r="A56" s="65" t="inlineStr">
        <is>
          <t>P009</t>
        </is>
      </c>
      <c r="B56" s="96" t="n">
        <v>4</v>
      </c>
      <c r="C56" s="96" t="inlineStr">
        <is>
          <t>O3-S1-EA</t>
        </is>
      </c>
      <c r="D56" s="96" t="n">
        <v>2</v>
      </c>
      <c r="E56" s="96" t="inlineStr">
        <is>
          <t>鼠标</t>
        </is>
      </c>
      <c r="F56" s="96" t="inlineStr">
        <is>
          <t>blue_mouse</t>
        </is>
      </c>
      <c r="G56" s="96" t="inlineStr">
        <is>
          <t>方法A</t>
        </is>
      </c>
      <c r="H56" s="96" t="inlineStr">
        <is>
          <t>EgoAnchor</t>
        </is>
      </c>
      <c r="I56" s="96" t="n">
        <v>2</v>
      </c>
      <c r="J56" s="96" t="n">
        <v>2</v>
      </c>
      <c r="K56" s="85" t="n"/>
      <c r="L56" s="85" t="n"/>
      <c r="M56" s="85" t="n"/>
      <c r="N56" s="7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328" t="n"/>
      <c r="Z56" s="328" t="n"/>
      <c r="AA56" s="85" t="n"/>
      <c r="AB56" s="85" t="n"/>
      <c r="AC56" s="85" t="n"/>
      <c r="AD56" s="85" t="n"/>
      <c r="AE56" s="85" t="n"/>
      <c r="AF56" s="78" t="n"/>
      <c r="AG56" s="78" t="n"/>
      <c r="AH56" s="78" t="n"/>
      <c r="AI56" s="78" t="n"/>
      <c r="AJ56" s="78" t="n"/>
      <c r="AK56" s="78" t="n"/>
      <c r="AL56" s="78" t="n"/>
      <c r="AM56" s="78" t="n"/>
      <c r="AN56" s="78" t="n"/>
      <c r="AO56" s="218" t="n"/>
    </row>
    <row r="57" ht="24" customHeight="1">
      <c r="A57" s="65" t="inlineStr">
        <is>
          <t>P009</t>
        </is>
      </c>
      <c r="B57" s="96" t="n">
        <v>5</v>
      </c>
      <c r="C57" s="96" t="inlineStr">
        <is>
          <t>O3-S1-EA</t>
        </is>
      </c>
      <c r="D57" s="96" t="n">
        <v>3</v>
      </c>
      <c r="E57" s="96" t="inlineStr">
        <is>
          <t>游戏手柄</t>
        </is>
      </c>
      <c r="F57" s="96" t="inlineStr">
        <is>
          <t>gamepad</t>
        </is>
      </c>
      <c r="G57" s="96" t="inlineStr">
        <is>
          <t>方法A</t>
        </is>
      </c>
      <c r="H57" s="96" t="inlineStr">
        <is>
          <t>EgoAnchor</t>
        </is>
      </c>
      <c r="I57" s="96" t="n">
        <v>1</v>
      </c>
      <c r="J57" s="96" t="n">
        <v>3</v>
      </c>
      <c r="K57" s="85" t="n"/>
      <c r="L57" s="85" t="n"/>
      <c r="M57" s="85" t="n"/>
      <c r="N57" s="7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328" t="n"/>
      <c r="Z57" s="328" t="n"/>
      <c r="AA57" s="85" t="n"/>
      <c r="AB57" s="85" t="n"/>
      <c r="AC57" s="85" t="n"/>
      <c r="AD57" s="85" t="n"/>
      <c r="AE57" s="85" t="n"/>
      <c r="AF57" s="78" t="n"/>
      <c r="AG57" s="78" t="n"/>
      <c r="AH57" s="78" t="n"/>
      <c r="AI57" s="78" t="n"/>
      <c r="AJ57" s="78" t="n"/>
      <c r="AK57" s="78" t="n"/>
      <c r="AL57" s="78" t="n"/>
      <c r="AM57" s="78" t="n"/>
      <c r="AN57" s="78" t="n"/>
      <c r="AO57" s="218" t="n"/>
    </row>
    <row r="58" ht="24" customHeight="1">
      <c r="A58" s="262" t="inlineStr">
        <is>
          <t>P009</t>
        </is>
      </c>
      <c r="B58" s="263" t="n">
        <v>6</v>
      </c>
      <c r="C58" s="263" t="inlineStr">
        <is>
          <t>O3-S1-EA</t>
        </is>
      </c>
      <c r="D58" s="263" t="n">
        <v>3</v>
      </c>
      <c r="E58" s="263" t="inlineStr">
        <is>
          <t>游戏手柄</t>
        </is>
      </c>
      <c r="F58" s="263" t="inlineStr">
        <is>
          <t>gamepad</t>
        </is>
      </c>
      <c r="G58" s="263" t="inlineStr">
        <is>
          <t>方法B</t>
        </is>
      </c>
      <c r="H58" s="263" t="inlineStr">
        <is>
          <t>One-Euro</t>
        </is>
      </c>
      <c r="I58" s="263" t="n">
        <v>2</v>
      </c>
      <c r="J58" s="263" t="n">
        <v>3</v>
      </c>
      <c r="K58" s="266" t="n"/>
      <c r="L58" s="266" t="n"/>
      <c r="M58" s="266" t="n"/>
      <c r="N58" s="278" t="n"/>
      <c r="O58" s="266" t="n"/>
      <c r="P58" s="266" t="n"/>
      <c r="Q58" s="266" t="n"/>
      <c r="R58" s="266" t="n"/>
      <c r="S58" s="266" t="n"/>
      <c r="T58" s="266" t="n"/>
      <c r="U58" s="266" t="n"/>
      <c r="V58" s="266" t="n"/>
      <c r="W58" s="266" t="n"/>
      <c r="X58" s="266" t="n"/>
      <c r="Y58" s="329" t="n"/>
      <c r="Z58" s="329" t="n"/>
      <c r="AA58" s="266" t="n"/>
      <c r="AB58" s="266" t="n"/>
      <c r="AC58" s="266" t="n"/>
      <c r="AD58" s="266" t="n"/>
      <c r="AE58" s="266" t="n"/>
      <c r="AF58" s="279" t="n"/>
      <c r="AG58" s="279" t="n"/>
      <c r="AH58" s="279" t="n"/>
      <c r="AI58" s="279" t="n"/>
      <c r="AJ58" s="279" t="n"/>
      <c r="AK58" s="279" t="n"/>
      <c r="AL58" s="279" t="n"/>
      <c r="AM58" s="279" t="n"/>
      <c r="AN58" s="279" t="n"/>
      <c r="AO58" s="279" t="n"/>
    </row>
    <row r="59" ht="24" customHeight="1">
      <c r="A59" s="65" t="inlineStr">
        <is>
          <t>P010</t>
        </is>
      </c>
      <c r="B59" s="96" t="n">
        <v>1</v>
      </c>
      <c r="C59" s="96" t="inlineStr">
        <is>
          <t>O3-S2-EA</t>
        </is>
      </c>
      <c r="D59" s="96" t="n">
        <v>1</v>
      </c>
      <c r="E59" s="96" t="inlineStr">
        <is>
          <t>固定订书机</t>
        </is>
      </c>
      <c r="F59" s="96" t="inlineStr">
        <is>
          <t>stapler</t>
        </is>
      </c>
      <c r="G59" s="96" t="inlineStr">
        <is>
          <t>方法B</t>
        </is>
      </c>
      <c r="H59" s="96" t="inlineStr">
        <is>
          <t>One-Euro</t>
        </is>
      </c>
      <c r="I59" s="96" t="n">
        <v>1</v>
      </c>
      <c r="J59" s="96" t="n">
        <v>1</v>
      </c>
      <c r="K59" s="85" t="n"/>
      <c r="L59" s="85" t="n"/>
      <c r="M59" s="85" t="n"/>
      <c r="N59" s="7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328" t="n"/>
      <c r="Z59" s="328" t="n"/>
      <c r="AA59" s="85" t="n"/>
      <c r="AB59" s="85" t="n"/>
      <c r="AC59" s="85" t="n"/>
      <c r="AD59" s="85" t="n"/>
      <c r="AE59" s="85" t="n"/>
      <c r="AF59" s="78" t="n"/>
      <c r="AG59" s="78" t="n"/>
      <c r="AH59" s="78" t="n"/>
      <c r="AI59" s="78" t="n"/>
      <c r="AJ59" s="78" t="n"/>
      <c r="AK59" s="78" t="n"/>
      <c r="AL59" s="78" t="n"/>
      <c r="AM59" s="78" t="n"/>
      <c r="AN59" s="78" t="n"/>
      <c r="AO59" s="218" t="n"/>
    </row>
    <row r="60" ht="24" customHeight="1">
      <c r="A60" s="65" t="inlineStr">
        <is>
          <t>P010</t>
        </is>
      </c>
      <c r="B60" s="96" t="n">
        <v>2</v>
      </c>
      <c r="C60" s="96" t="inlineStr">
        <is>
          <t>O3-S2-EA</t>
        </is>
      </c>
      <c r="D60" s="96" t="n">
        <v>1</v>
      </c>
      <c r="E60" s="96" t="inlineStr">
        <is>
          <t>固定订书机</t>
        </is>
      </c>
      <c r="F60" s="96" t="inlineStr">
        <is>
          <t>stapler</t>
        </is>
      </c>
      <c r="G60" s="96" t="inlineStr">
        <is>
          <t>方法A</t>
        </is>
      </c>
      <c r="H60" s="96" t="inlineStr">
        <is>
          <t>EgoAnchor</t>
        </is>
      </c>
      <c r="I60" s="96" t="n">
        <v>2</v>
      </c>
      <c r="J60" s="96" t="n">
        <v>1</v>
      </c>
      <c r="K60" s="85" t="n"/>
      <c r="L60" s="85" t="n"/>
      <c r="M60" s="85" t="n"/>
      <c r="N60" s="7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328" t="n"/>
      <c r="Z60" s="328" t="n"/>
      <c r="AA60" s="85" t="n"/>
      <c r="AB60" s="85" t="n"/>
      <c r="AC60" s="85" t="n"/>
      <c r="AD60" s="85" t="n"/>
      <c r="AE60" s="85" t="n"/>
      <c r="AF60" s="78" t="n"/>
      <c r="AG60" s="78" t="n"/>
      <c r="AH60" s="78" t="n"/>
      <c r="AI60" s="78" t="n"/>
      <c r="AJ60" s="78" t="n"/>
      <c r="AK60" s="78" t="n"/>
      <c r="AL60" s="78" t="n"/>
      <c r="AM60" s="78" t="n"/>
      <c r="AN60" s="78" t="n"/>
      <c r="AO60" s="218" t="n"/>
    </row>
    <row r="61" ht="24" customHeight="1">
      <c r="A61" s="65" t="inlineStr">
        <is>
          <t>P010</t>
        </is>
      </c>
      <c r="B61" s="96" t="n">
        <v>3</v>
      </c>
      <c r="C61" s="96" t="inlineStr">
        <is>
          <t>O3-S2-EA</t>
        </is>
      </c>
      <c r="D61" s="96" t="n">
        <v>2</v>
      </c>
      <c r="E61" s="96" t="inlineStr">
        <is>
          <t>鼠标</t>
        </is>
      </c>
      <c r="F61" s="96" t="inlineStr">
        <is>
          <t>blue_mouse</t>
        </is>
      </c>
      <c r="G61" s="96" t="inlineStr">
        <is>
          <t>方法A</t>
        </is>
      </c>
      <c r="H61" s="96" t="inlineStr">
        <is>
          <t>EgoAnchor</t>
        </is>
      </c>
      <c r="I61" s="96" t="n">
        <v>1</v>
      </c>
      <c r="J61" s="96" t="n">
        <v>2</v>
      </c>
      <c r="K61" s="85" t="n"/>
      <c r="L61" s="85" t="n"/>
      <c r="M61" s="85" t="n"/>
      <c r="N61" s="7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328" t="n"/>
      <c r="Z61" s="328" t="n"/>
      <c r="AA61" s="85" t="n"/>
      <c r="AB61" s="85" t="n"/>
      <c r="AC61" s="85" t="n"/>
      <c r="AD61" s="85" t="n"/>
      <c r="AE61" s="85" t="n"/>
      <c r="AF61" s="78" t="n"/>
      <c r="AG61" s="78" t="n"/>
      <c r="AH61" s="78" t="n"/>
      <c r="AI61" s="78" t="n"/>
      <c r="AJ61" s="78" t="n"/>
      <c r="AK61" s="78" t="n"/>
      <c r="AL61" s="78" t="n"/>
      <c r="AM61" s="78" t="n"/>
      <c r="AN61" s="78" t="n"/>
      <c r="AO61" s="218" t="n"/>
    </row>
    <row r="62" ht="24" customHeight="1">
      <c r="A62" s="65" t="inlineStr">
        <is>
          <t>P010</t>
        </is>
      </c>
      <c r="B62" s="96" t="n">
        <v>4</v>
      </c>
      <c r="C62" s="96" t="inlineStr">
        <is>
          <t>O3-S2-EA</t>
        </is>
      </c>
      <c r="D62" s="96" t="n">
        <v>2</v>
      </c>
      <c r="E62" s="96" t="inlineStr">
        <is>
          <t>鼠标</t>
        </is>
      </c>
      <c r="F62" s="96" t="inlineStr">
        <is>
          <t>blue_mouse</t>
        </is>
      </c>
      <c r="G62" s="96" t="inlineStr">
        <is>
          <t>方法B</t>
        </is>
      </c>
      <c r="H62" s="96" t="inlineStr">
        <is>
          <t>One-Euro</t>
        </is>
      </c>
      <c r="I62" s="96" t="n">
        <v>2</v>
      </c>
      <c r="J62" s="96" t="n">
        <v>2</v>
      </c>
      <c r="K62" s="85" t="n"/>
      <c r="L62" s="85" t="n"/>
      <c r="M62" s="85" t="n"/>
      <c r="N62" s="7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328" t="n"/>
      <c r="Z62" s="328" t="n"/>
      <c r="AA62" s="85" t="n"/>
      <c r="AB62" s="85" t="n"/>
      <c r="AC62" s="85" t="n"/>
      <c r="AD62" s="85" t="n"/>
      <c r="AE62" s="85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218" t="n"/>
    </row>
    <row r="63" ht="24" customHeight="1">
      <c r="A63" s="65" t="inlineStr">
        <is>
          <t>P010</t>
        </is>
      </c>
      <c r="B63" s="96" t="n">
        <v>5</v>
      </c>
      <c r="C63" s="96" t="inlineStr">
        <is>
          <t>O3-S2-EA</t>
        </is>
      </c>
      <c r="D63" s="96" t="n">
        <v>3</v>
      </c>
      <c r="E63" s="96" t="inlineStr">
        <is>
          <t>游戏手柄</t>
        </is>
      </c>
      <c r="F63" s="96" t="inlineStr">
        <is>
          <t>gamepad</t>
        </is>
      </c>
      <c r="G63" s="96" t="inlineStr">
        <is>
          <t>方法B</t>
        </is>
      </c>
      <c r="H63" s="96" t="inlineStr">
        <is>
          <t>One-Euro</t>
        </is>
      </c>
      <c r="I63" s="96" t="n">
        <v>1</v>
      </c>
      <c r="J63" s="96" t="n">
        <v>3</v>
      </c>
      <c r="K63" s="85" t="n"/>
      <c r="L63" s="85" t="n"/>
      <c r="M63" s="85" t="n"/>
      <c r="N63" s="7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328" t="n"/>
      <c r="Z63" s="328" t="n"/>
      <c r="AA63" s="85" t="n"/>
      <c r="AB63" s="85" t="n"/>
      <c r="AC63" s="85" t="n"/>
      <c r="AD63" s="85" t="n"/>
      <c r="AE63" s="85" t="n"/>
      <c r="AF63" s="78" t="n"/>
      <c r="AG63" s="78" t="n"/>
      <c r="AH63" s="78" t="n"/>
      <c r="AI63" s="78" t="n"/>
      <c r="AJ63" s="78" t="n"/>
      <c r="AK63" s="78" t="n"/>
      <c r="AL63" s="78" t="n"/>
      <c r="AM63" s="78" t="n"/>
      <c r="AN63" s="78" t="n"/>
      <c r="AO63" s="218" t="n"/>
    </row>
    <row r="64" ht="24" customHeight="1">
      <c r="A64" s="262" t="inlineStr">
        <is>
          <t>P010</t>
        </is>
      </c>
      <c r="B64" s="263" t="n">
        <v>6</v>
      </c>
      <c r="C64" s="263" t="inlineStr">
        <is>
          <t>O3-S2-EA</t>
        </is>
      </c>
      <c r="D64" s="263" t="n">
        <v>3</v>
      </c>
      <c r="E64" s="263" t="inlineStr">
        <is>
          <t>游戏手柄</t>
        </is>
      </c>
      <c r="F64" s="263" t="inlineStr">
        <is>
          <t>gamepad</t>
        </is>
      </c>
      <c r="G64" s="263" t="inlineStr">
        <is>
          <t>方法A</t>
        </is>
      </c>
      <c r="H64" s="263" t="inlineStr">
        <is>
          <t>EgoAnchor</t>
        </is>
      </c>
      <c r="I64" s="263" t="n">
        <v>2</v>
      </c>
      <c r="J64" s="263" t="n">
        <v>3</v>
      </c>
      <c r="K64" s="266" t="n"/>
      <c r="L64" s="266" t="n"/>
      <c r="M64" s="266" t="n"/>
      <c r="N64" s="278" t="n"/>
      <c r="O64" s="266" t="n"/>
      <c r="P64" s="266" t="n"/>
      <c r="Q64" s="266" t="n"/>
      <c r="R64" s="266" t="n"/>
      <c r="S64" s="266" t="n"/>
      <c r="T64" s="266" t="n"/>
      <c r="U64" s="266" t="n"/>
      <c r="V64" s="266" t="n"/>
      <c r="W64" s="266" t="n"/>
      <c r="X64" s="266" t="n"/>
      <c r="Y64" s="329" t="n"/>
      <c r="Z64" s="329" t="n"/>
      <c r="AA64" s="266" t="n"/>
      <c r="AB64" s="266" t="n"/>
      <c r="AC64" s="266" t="n"/>
      <c r="AD64" s="266" t="n"/>
      <c r="AE64" s="266" t="n"/>
      <c r="AF64" s="279" t="n"/>
      <c r="AG64" s="279" t="n"/>
      <c r="AH64" s="279" t="n"/>
      <c r="AI64" s="279" t="n"/>
      <c r="AJ64" s="279" t="n"/>
      <c r="AK64" s="279" t="n"/>
      <c r="AL64" s="279" t="n"/>
      <c r="AM64" s="279" t="n"/>
      <c r="AN64" s="279" t="n"/>
      <c r="AO64" s="279" t="n"/>
    </row>
    <row r="65" ht="24" customHeight="1">
      <c r="A65" s="65" t="inlineStr">
        <is>
          <t>P011</t>
        </is>
      </c>
      <c r="B65" s="96" t="n">
        <v>1</v>
      </c>
      <c r="C65" s="96" t="inlineStr">
        <is>
          <t>O3-S2-OE</t>
        </is>
      </c>
      <c r="D65" s="96" t="n">
        <v>1</v>
      </c>
      <c r="E65" s="96" t="inlineStr">
        <is>
          <t>固定订书机</t>
        </is>
      </c>
      <c r="F65" s="96" t="inlineStr">
        <is>
          <t>stapler</t>
        </is>
      </c>
      <c r="G65" s="96" t="inlineStr">
        <is>
          <t>方法B</t>
        </is>
      </c>
      <c r="H65" s="96" t="inlineStr">
        <is>
          <t>EgoAnchor</t>
        </is>
      </c>
      <c r="I65" s="96" t="n">
        <v>1</v>
      </c>
      <c r="J65" s="96" t="n">
        <v>1</v>
      </c>
      <c r="K65" s="85" t="n"/>
      <c r="L65" s="85" t="n"/>
      <c r="M65" s="85" t="n"/>
      <c r="N65" s="7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328" t="n"/>
      <c r="Z65" s="328" t="n"/>
      <c r="AA65" s="85" t="n"/>
      <c r="AB65" s="85" t="n"/>
      <c r="AC65" s="85" t="n"/>
      <c r="AD65" s="85" t="n"/>
      <c r="AE65" s="85" t="n"/>
      <c r="AF65" s="78" t="n"/>
      <c r="AG65" s="78" t="n"/>
      <c r="AH65" s="78" t="n"/>
      <c r="AI65" s="78" t="n"/>
      <c r="AJ65" s="78" t="n"/>
      <c r="AK65" s="78" t="n"/>
      <c r="AL65" s="78" t="n"/>
      <c r="AM65" s="78" t="n"/>
      <c r="AN65" s="78" t="n"/>
      <c r="AO65" s="218" t="n"/>
    </row>
    <row r="66" ht="24" customHeight="1">
      <c r="A66" s="65" t="inlineStr">
        <is>
          <t>P011</t>
        </is>
      </c>
      <c r="B66" s="96" t="n">
        <v>2</v>
      </c>
      <c r="C66" s="96" t="inlineStr">
        <is>
          <t>O3-S2-OE</t>
        </is>
      </c>
      <c r="D66" s="96" t="n">
        <v>1</v>
      </c>
      <c r="E66" s="96" t="inlineStr">
        <is>
          <t>固定订书机</t>
        </is>
      </c>
      <c r="F66" s="96" t="inlineStr">
        <is>
          <t>stapler</t>
        </is>
      </c>
      <c r="G66" s="96" t="inlineStr">
        <is>
          <t>方法A</t>
        </is>
      </c>
      <c r="H66" s="96" t="inlineStr">
        <is>
          <t>One-Euro</t>
        </is>
      </c>
      <c r="I66" s="96" t="n">
        <v>2</v>
      </c>
      <c r="J66" s="96" t="n">
        <v>1</v>
      </c>
      <c r="K66" s="85" t="n"/>
      <c r="L66" s="85" t="n"/>
      <c r="M66" s="85" t="n"/>
      <c r="N66" s="7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328" t="n"/>
      <c r="Z66" s="328" t="n"/>
      <c r="AA66" s="85" t="n"/>
      <c r="AB66" s="85" t="n"/>
      <c r="AC66" s="85" t="n"/>
      <c r="AD66" s="85" t="n"/>
      <c r="AE66" s="85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218" t="n"/>
    </row>
    <row r="67" ht="24" customHeight="1">
      <c r="A67" s="65" t="inlineStr">
        <is>
          <t>P011</t>
        </is>
      </c>
      <c r="B67" s="96" t="n">
        <v>3</v>
      </c>
      <c r="C67" s="96" t="inlineStr">
        <is>
          <t>O3-S2-OE</t>
        </is>
      </c>
      <c r="D67" s="96" t="n">
        <v>2</v>
      </c>
      <c r="E67" s="96" t="inlineStr">
        <is>
          <t>鼠标</t>
        </is>
      </c>
      <c r="F67" s="96" t="inlineStr">
        <is>
          <t>blue_mouse</t>
        </is>
      </c>
      <c r="G67" s="96" t="inlineStr">
        <is>
          <t>方法A</t>
        </is>
      </c>
      <c r="H67" s="96" t="inlineStr">
        <is>
          <t>One-Euro</t>
        </is>
      </c>
      <c r="I67" s="96" t="n">
        <v>1</v>
      </c>
      <c r="J67" s="96" t="n">
        <v>2</v>
      </c>
      <c r="K67" s="85" t="n"/>
      <c r="L67" s="85" t="n"/>
      <c r="M67" s="85" t="n"/>
      <c r="N67" s="7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328" t="n"/>
      <c r="Z67" s="328" t="n"/>
      <c r="AA67" s="85" t="n"/>
      <c r="AB67" s="85" t="n"/>
      <c r="AC67" s="85" t="n"/>
      <c r="AD67" s="85" t="n"/>
      <c r="AE67" s="85" t="n"/>
      <c r="AF67" s="78" t="n"/>
      <c r="AG67" s="78" t="n"/>
      <c r="AH67" s="78" t="n"/>
      <c r="AI67" s="78" t="n"/>
      <c r="AJ67" s="78" t="n"/>
      <c r="AK67" s="78" t="n"/>
      <c r="AL67" s="78" t="n"/>
      <c r="AM67" s="78" t="n"/>
      <c r="AN67" s="78" t="n"/>
      <c r="AO67" s="218" t="n"/>
    </row>
    <row r="68" ht="24" customHeight="1">
      <c r="A68" s="65" t="inlineStr">
        <is>
          <t>P011</t>
        </is>
      </c>
      <c r="B68" s="96" t="n">
        <v>4</v>
      </c>
      <c r="C68" s="96" t="inlineStr">
        <is>
          <t>O3-S2-OE</t>
        </is>
      </c>
      <c r="D68" s="96" t="n">
        <v>2</v>
      </c>
      <c r="E68" s="96" t="inlineStr">
        <is>
          <t>鼠标</t>
        </is>
      </c>
      <c r="F68" s="96" t="inlineStr">
        <is>
          <t>blue_mouse</t>
        </is>
      </c>
      <c r="G68" s="96" t="inlineStr">
        <is>
          <t>方法B</t>
        </is>
      </c>
      <c r="H68" s="96" t="inlineStr">
        <is>
          <t>EgoAnchor</t>
        </is>
      </c>
      <c r="I68" s="96" t="n">
        <v>2</v>
      </c>
      <c r="J68" s="96" t="n">
        <v>2</v>
      </c>
      <c r="K68" s="85" t="n"/>
      <c r="L68" s="85" t="n"/>
      <c r="M68" s="85" t="n"/>
      <c r="N68" s="7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328" t="n"/>
      <c r="Z68" s="328" t="n"/>
      <c r="AA68" s="85" t="n"/>
      <c r="AB68" s="85" t="n"/>
      <c r="AC68" s="85" t="n"/>
      <c r="AD68" s="85" t="n"/>
      <c r="AE68" s="85" t="n"/>
      <c r="AF68" s="78" t="n"/>
      <c r="AG68" s="78" t="n"/>
      <c r="AH68" s="78" t="n"/>
      <c r="AI68" s="78" t="n"/>
      <c r="AJ68" s="78" t="n"/>
      <c r="AK68" s="78" t="n"/>
      <c r="AL68" s="78" t="n"/>
      <c r="AM68" s="78" t="n"/>
      <c r="AN68" s="78" t="n"/>
      <c r="AO68" s="218" t="n"/>
    </row>
    <row r="69" ht="24" customHeight="1">
      <c r="A69" s="65" t="inlineStr">
        <is>
          <t>P011</t>
        </is>
      </c>
      <c r="B69" s="96" t="n">
        <v>5</v>
      </c>
      <c r="C69" s="96" t="inlineStr">
        <is>
          <t>O3-S2-OE</t>
        </is>
      </c>
      <c r="D69" s="96" t="n">
        <v>3</v>
      </c>
      <c r="E69" s="96" t="inlineStr">
        <is>
          <t>游戏手柄</t>
        </is>
      </c>
      <c r="F69" s="96" t="inlineStr">
        <is>
          <t>gamepad</t>
        </is>
      </c>
      <c r="G69" s="96" t="inlineStr">
        <is>
          <t>方法B</t>
        </is>
      </c>
      <c r="H69" s="96" t="inlineStr">
        <is>
          <t>EgoAnchor</t>
        </is>
      </c>
      <c r="I69" s="96" t="n">
        <v>1</v>
      </c>
      <c r="J69" s="96" t="n">
        <v>3</v>
      </c>
      <c r="K69" s="85" t="n"/>
      <c r="L69" s="85" t="n"/>
      <c r="M69" s="85" t="n"/>
      <c r="N69" s="7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328" t="n"/>
      <c r="Z69" s="328" t="n"/>
      <c r="AA69" s="85" t="n"/>
      <c r="AB69" s="85" t="n"/>
      <c r="AC69" s="85" t="n"/>
      <c r="AD69" s="85" t="n"/>
      <c r="AE69" s="85" t="n"/>
      <c r="AF69" s="78" t="n"/>
      <c r="AG69" s="78" t="n"/>
      <c r="AH69" s="78" t="n"/>
      <c r="AI69" s="78" t="n"/>
      <c r="AJ69" s="78" t="n"/>
      <c r="AK69" s="78" t="n"/>
      <c r="AL69" s="78" t="n"/>
      <c r="AM69" s="78" t="n"/>
      <c r="AN69" s="78" t="n"/>
      <c r="AO69" s="218" t="n"/>
    </row>
    <row r="70" ht="24" customHeight="1">
      <c r="A70" s="262" t="inlineStr">
        <is>
          <t>P011</t>
        </is>
      </c>
      <c r="B70" s="263" t="n">
        <v>6</v>
      </c>
      <c r="C70" s="263" t="inlineStr">
        <is>
          <t>O3-S2-OE</t>
        </is>
      </c>
      <c r="D70" s="263" t="n">
        <v>3</v>
      </c>
      <c r="E70" s="263" t="inlineStr">
        <is>
          <t>游戏手柄</t>
        </is>
      </c>
      <c r="F70" s="263" t="inlineStr">
        <is>
          <t>gamepad</t>
        </is>
      </c>
      <c r="G70" s="263" t="inlineStr">
        <is>
          <t>方法A</t>
        </is>
      </c>
      <c r="H70" s="263" t="inlineStr">
        <is>
          <t>One-Euro</t>
        </is>
      </c>
      <c r="I70" s="263" t="n">
        <v>2</v>
      </c>
      <c r="J70" s="263" t="n">
        <v>3</v>
      </c>
      <c r="K70" s="266" t="n"/>
      <c r="L70" s="266" t="n"/>
      <c r="M70" s="266" t="n"/>
      <c r="N70" s="278" t="n"/>
      <c r="O70" s="266" t="n"/>
      <c r="P70" s="266" t="n"/>
      <c r="Q70" s="266" t="n"/>
      <c r="R70" s="266" t="n"/>
      <c r="S70" s="266" t="n"/>
      <c r="T70" s="266" t="n"/>
      <c r="U70" s="266" t="n"/>
      <c r="V70" s="266" t="n"/>
      <c r="W70" s="266" t="n"/>
      <c r="X70" s="266" t="n"/>
      <c r="Y70" s="329" t="n"/>
      <c r="Z70" s="329" t="n"/>
      <c r="AA70" s="266" t="n"/>
      <c r="AB70" s="266" t="n"/>
      <c r="AC70" s="266" t="n"/>
      <c r="AD70" s="266" t="n"/>
      <c r="AE70" s="266" t="n"/>
      <c r="AF70" s="279" t="n"/>
      <c r="AG70" s="279" t="n"/>
      <c r="AH70" s="279" t="n"/>
      <c r="AI70" s="279" t="n"/>
      <c r="AJ70" s="279" t="n"/>
      <c r="AK70" s="279" t="n"/>
      <c r="AL70" s="279" t="n"/>
      <c r="AM70" s="279" t="n"/>
      <c r="AN70" s="279" t="n"/>
      <c r="AO70" s="279" t="n"/>
    </row>
    <row r="71" ht="24" customHeight="1">
      <c r="A71" s="65" t="inlineStr">
        <is>
          <t>P012</t>
        </is>
      </c>
      <c r="B71" s="96" t="n">
        <v>1</v>
      </c>
      <c r="C71" s="96" t="inlineStr">
        <is>
          <t>O3-S1-OE</t>
        </is>
      </c>
      <c r="D71" s="96" t="n">
        <v>1</v>
      </c>
      <c r="E71" s="96" t="inlineStr">
        <is>
          <t>固定订书机</t>
        </is>
      </c>
      <c r="F71" s="96" t="inlineStr">
        <is>
          <t>stapler</t>
        </is>
      </c>
      <c r="G71" s="96" t="inlineStr">
        <is>
          <t>方法A</t>
        </is>
      </c>
      <c r="H71" s="96" t="inlineStr">
        <is>
          <t>One-Euro</t>
        </is>
      </c>
      <c r="I71" s="96" t="n">
        <v>1</v>
      </c>
      <c r="J71" s="96" t="n">
        <v>1</v>
      </c>
      <c r="K71" s="85" t="n"/>
      <c r="L71" s="85" t="n"/>
      <c r="M71" s="85" t="n"/>
      <c r="N71" s="7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328" t="n"/>
      <c r="Z71" s="328" t="n"/>
      <c r="AA71" s="85" t="n"/>
      <c r="AB71" s="85" t="n"/>
      <c r="AC71" s="85" t="n"/>
      <c r="AD71" s="85" t="n"/>
      <c r="AE71" s="85" t="n"/>
      <c r="AF71" s="78" t="n"/>
      <c r="AG71" s="78" t="n"/>
      <c r="AH71" s="78" t="n"/>
      <c r="AI71" s="78" t="n"/>
      <c r="AJ71" s="78" t="n"/>
      <c r="AK71" s="78" t="n"/>
      <c r="AL71" s="78" t="n"/>
      <c r="AM71" s="78" t="n"/>
      <c r="AN71" s="78" t="n"/>
      <c r="AO71" s="218" t="n"/>
    </row>
    <row r="72" ht="24" customHeight="1">
      <c r="A72" s="65" t="inlineStr">
        <is>
          <t>P012</t>
        </is>
      </c>
      <c r="B72" s="96" t="n">
        <v>2</v>
      </c>
      <c r="C72" s="96" t="inlineStr">
        <is>
          <t>O3-S1-OE</t>
        </is>
      </c>
      <c r="D72" s="96" t="n">
        <v>1</v>
      </c>
      <c r="E72" s="96" t="inlineStr">
        <is>
          <t>固定订书机</t>
        </is>
      </c>
      <c r="F72" s="96" t="inlineStr">
        <is>
          <t>stapler</t>
        </is>
      </c>
      <c r="G72" s="96" t="inlineStr">
        <is>
          <t>方法B</t>
        </is>
      </c>
      <c r="H72" s="96" t="inlineStr">
        <is>
          <t>EgoAnchor</t>
        </is>
      </c>
      <c r="I72" s="96" t="n">
        <v>2</v>
      </c>
      <c r="J72" s="96" t="n">
        <v>1</v>
      </c>
      <c r="K72" s="85" t="n"/>
      <c r="L72" s="85" t="n"/>
      <c r="M72" s="85" t="n"/>
      <c r="N72" s="7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328" t="n"/>
      <c r="Z72" s="328" t="n"/>
      <c r="AA72" s="85" t="n"/>
      <c r="AB72" s="85" t="n"/>
      <c r="AC72" s="85" t="n"/>
      <c r="AD72" s="85" t="n"/>
      <c r="AE72" s="85" t="n"/>
      <c r="AF72" s="78" t="n"/>
      <c r="AG72" s="78" t="n"/>
      <c r="AH72" s="78" t="n"/>
      <c r="AI72" s="78" t="n"/>
      <c r="AJ72" s="78" t="n"/>
      <c r="AK72" s="78" t="n"/>
      <c r="AL72" s="78" t="n"/>
      <c r="AM72" s="78" t="n"/>
      <c r="AN72" s="78" t="n"/>
      <c r="AO72" s="218" t="n"/>
    </row>
    <row r="73" ht="24" customHeight="1">
      <c r="A73" s="65" t="inlineStr">
        <is>
          <t>P012</t>
        </is>
      </c>
      <c r="B73" s="96" t="n">
        <v>3</v>
      </c>
      <c r="C73" s="96" t="inlineStr">
        <is>
          <t>O3-S1-OE</t>
        </is>
      </c>
      <c r="D73" s="96" t="n">
        <v>2</v>
      </c>
      <c r="E73" s="96" t="inlineStr">
        <is>
          <t>鼠标</t>
        </is>
      </c>
      <c r="F73" s="96" t="inlineStr">
        <is>
          <t>blue_mouse</t>
        </is>
      </c>
      <c r="G73" s="96" t="inlineStr">
        <is>
          <t>方法B</t>
        </is>
      </c>
      <c r="H73" s="96" t="inlineStr">
        <is>
          <t>EgoAnchor</t>
        </is>
      </c>
      <c r="I73" s="96" t="n">
        <v>1</v>
      </c>
      <c r="J73" s="96" t="n">
        <v>2</v>
      </c>
      <c r="K73" s="85" t="n"/>
      <c r="L73" s="85" t="n"/>
      <c r="M73" s="85" t="n"/>
      <c r="N73" s="7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328" t="n"/>
      <c r="Z73" s="328" t="n"/>
      <c r="AA73" s="85" t="n"/>
      <c r="AB73" s="85" t="n"/>
      <c r="AC73" s="85" t="n"/>
      <c r="AD73" s="85" t="n"/>
      <c r="AE73" s="85" t="n"/>
      <c r="AF73" s="78" t="n"/>
      <c r="AG73" s="78" t="n"/>
      <c r="AH73" s="78" t="n"/>
      <c r="AI73" s="78" t="n"/>
      <c r="AJ73" s="78" t="n"/>
      <c r="AK73" s="78" t="n"/>
      <c r="AL73" s="78" t="n"/>
      <c r="AM73" s="78" t="n"/>
      <c r="AN73" s="78" t="n"/>
      <c r="AO73" s="218" t="n"/>
    </row>
    <row r="74" ht="24" customHeight="1">
      <c r="A74" s="65" t="inlineStr">
        <is>
          <t>P012</t>
        </is>
      </c>
      <c r="B74" s="96" t="n">
        <v>4</v>
      </c>
      <c r="C74" s="96" t="inlineStr">
        <is>
          <t>O3-S1-OE</t>
        </is>
      </c>
      <c r="D74" s="96" t="n">
        <v>2</v>
      </c>
      <c r="E74" s="96" t="inlineStr">
        <is>
          <t>鼠标</t>
        </is>
      </c>
      <c r="F74" s="96" t="inlineStr">
        <is>
          <t>blue_mouse</t>
        </is>
      </c>
      <c r="G74" s="96" t="inlineStr">
        <is>
          <t>方法A</t>
        </is>
      </c>
      <c r="H74" s="96" t="inlineStr">
        <is>
          <t>One-Euro</t>
        </is>
      </c>
      <c r="I74" s="96" t="n">
        <v>2</v>
      </c>
      <c r="J74" s="96" t="n">
        <v>2</v>
      </c>
      <c r="K74" s="85" t="n"/>
      <c r="L74" s="85" t="n"/>
      <c r="M74" s="85" t="n"/>
      <c r="N74" s="7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328" t="n"/>
      <c r="Z74" s="328" t="n"/>
      <c r="AA74" s="85" t="n"/>
      <c r="AB74" s="85" t="n"/>
      <c r="AC74" s="85" t="n"/>
      <c r="AD74" s="85" t="n"/>
      <c r="AE74" s="85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218" t="n"/>
    </row>
    <row r="75" ht="24" customHeight="1">
      <c r="A75" s="65" t="inlineStr">
        <is>
          <t>P012</t>
        </is>
      </c>
      <c r="B75" s="96" t="n">
        <v>5</v>
      </c>
      <c r="C75" s="96" t="inlineStr">
        <is>
          <t>O3-S1-OE</t>
        </is>
      </c>
      <c r="D75" s="96" t="n">
        <v>3</v>
      </c>
      <c r="E75" s="96" t="inlineStr">
        <is>
          <t>游戏手柄</t>
        </is>
      </c>
      <c r="F75" s="96" t="inlineStr">
        <is>
          <t>gamepad</t>
        </is>
      </c>
      <c r="G75" s="96" t="inlineStr">
        <is>
          <t>方法A</t>
        </is>
      </c>
      <c r="H75" s="96" t="inlineStr">
        <is>
          <t>One-Euro</t>
        </is>
      </c>
      <c r="I75" s="96" t="n">
        <v>1</v>
      </c>
      <c r="J75" s="96" t="n">
        <v>3</v>
      </c>
      <c r="K75" s="85" t="n"/>
      <c r="L75" s="85" t="n"/>
      <c r="M75" s="85" t="n"/>
      <c r="N75" s="7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328" t="n"/>
      <c r="Z75" s="328" t="n"/>
      <c r="AA75" s="85" t="n"/>
      <c r="AB75" s="85" t="n"/>
      <c r="AC75" s="85" t="n"/>
      <c r="AD75" s="85" t="n"/>
      <c r="AE75" s="85" t="n"/>
      <c r="AF75" s="78" t="n"/>
      <c r="AG75" s="78" t="n"/>
      <c r="AH75" s="78" t="n"/>
      <c r="AI75" s="78" t="n"/>
      <c r="AJ75" s="78" t="n"/>
      <c r="AK75" s="78" t="n"/>
      <c r="AL75" s="78" t="n"/>
      <c r="AM75" s="78" t="n"/>
      <c r="AN75" s="78" t="n"/>
      <c r="AO75" s="218" t="n"/>
    </row>
    <row r="76" ht="24" customHeight="1">
      <c r="A76" s="262" t="inlineStr">
        <is>
          <t>P012</t>
        </is>
      </c>
      <c r="B76" s="263" t="n">
        <v>6</v>
      </c>
      <c r="C76" s="263" t="inlineStr">
        <is>
          <t>O3-S1-OE</t>
        </is>
      </c>
      <c r="D76" s="263" t="n">
        <v>3</v>
      </c>
      <c r="E76" s="263" t="inlineStr">
        <is>
          <t>游戏手柄</t>
        </is>
      </c>
      <c r="F76" s="263" t="inlineStr">
        <is>
          <t>gamepad</t>
        </is>
      </c>
      <c r="G76" s="263" t="inlineStr">
        <is>
          <t>方法B</t>
        </is>
      </c>
      <c r="H76" s="263" t="inlineStr">
        <is>
          <t>EgoAnchor</t>
        </is>
      </c>
      <c r="I76" s="263" t="n">
        <v>2</v>
      </c>
      <c r="J76" s="263" t="n">
        <v>3</v>
      </c>
      <c r="K76" s="266" t="n"/>
      <c r="L76" s="266" t="n"/>
      <c r="M76" s="266" t="n"/>
      <c r="N76" s="278" t="n"/>
      <c r="O76" s="266" t="n"/>
      <c r="P76" s="266" t="n"/>
      <c r="Q76" s="266" t="n"/>
      <c r="R76" s="266" t="n"/>
      <c r="S76" s="266" t="n"/>
      <c r="T76" s="266" t="n"/>
      <c r="U76" s="266" t="n"/>
      <c r="V76" s="266" t="n"/>
      <c r="W76" s="266" t="n"/>
      <c r="X76" s="266" t="n"/>
      <c r="Y76" s="329" t="n"/>
      <c r="Z76" s="329" t="n"/>
      <c r="AA76" s="266" t="n"/>
      <c r="AB76" s="266" t="n"/>
      <c r="AC76" s="266" t="n"/>
      <c r="AD76" s="266" t="n"/>
      <c r="AE76" s="266" t="n"/>
      <c r="AF76" s="279" t="n"/>
      <c r="AG76" s="279" t="n"/>
      <c r="AH76" s="279" t="n"/>
      <c r="AI76" s="279" t="n"/>
      <c r="AJ76" s="279" t="n"/>
      <c r="AK76" s="279" t="n"/>
      <c r="AL76" s="279" t="n"/>
      <c r="AM76" s="279" t="n"/>
      <c r="AN76" s="279" t="n"/>
      <c r="AO76" s="279" t="n"/>
    </row>
    <row r="77" ht="24" customHeight="1">
      <c r="A77" s="65" t="inlineStr">
        <is>
          <t>P013</t>
        </is>
      </c>
      <c r="B77" s="96" t="n">
        <v>1</v>
      </c>
      <c r="C77" s="96" t="inlineStr">
        <is>
          <t>O4-S1-EA</t>
        </is>
      </c>
      <c r="D77" s="96" t="n">
        <v>1</v>
      </c>
      <c r="E77" s="96" t="inlineStr">
        <is>
          <t>固定订书机</t>
        </is>
      </c>
      <c r="F77" s="96" t="inlineStr">
        <is>
          <t>stapler</t>
        </is>
      </c>
      <c r="G77" s="96" t="inlineStr">
        <is>
          <t>方法A</t>
        </is>
      </c>
      <c r="H77" s="96" t="inlineStr">
        <is>
          <t>EgoAnchor</t>
        </is>
      </c>
      <c r="I77" s="96" t="n">
        <v>1</v>
      </c>
      <c r="J77" s="96" t="n">
        <v>1</v>
      </c>
      <c r="K77" s="85" t="n"/>
      <c r="L77" s="85" t="n"/>
      <c r="M77" s="85" t="n"/>
      <c r="N77" s="7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328" t="n"/>
      <c r="Z77" s="328" t="n"/>
      <c r="AA77" s="85" t="n"/>
      <c r="AB77" s="85" t="n"/>
      <c r="AC77" s="85" t="n"/>
      <c r="AD77" s="85" t="n"/>
      <c r="AE77" s="85" t="n"/>
      <c r="AF77" s="78" t="n"/>
      <c r="AG77" s="78" t="n"/>
      <c r="AH77" s="78" t="n"/>
      <c r="AI77" s="78" t="n"/>
      <c r="AJ77" s="78" t="n"/>
      <c r="AK77" s="78" t="n"/>
      <c r="AL77" s="78" t="n"/>
      <c r="AM77" s="78" t="n"/>
      <c r="AN77" s="78" t="n"/>
      <c r="AO77" s="218" t="n"/>
    </row>
    <row r="78" ht="24" customHeight="1">
      <c r="A78" s="65" t="inlineStr">
        <is>
          <t>P013</t>
        </is>
      </c>
      <c r="B78" s="96" t="n">
        <v>2</v>
      </c>
      <c r="C78" s="96" t="inlineStr">
        <is>
          <t>O4-S1-EA</t>
        </is>
      </c>
      <c r="D78" s="96" t="n">
        <v>1</v>
      </c>
      <c r="E78" s="96" t="inlineStr">
        <is>
          <t>固定订书机</t>
        </is>
      </c>
      <c r="F78" s="96" t="inlineStr">
        <is>
          <t>stapler</t>
        </is>
      </c>
      <c r="G78" s="96" t="inlineStr">
        <is>
          <t>方法B</t>
        </is>
      </c>
      <c r="H78" s="96" t="inlineStr">
        <is>
          <t>One-Euro</t>
        </is>
      </c>
      <c r="I78" s="96" t="n">
        <v>2</v>
      </c>
      <c r="J78" s="96" t="n">
        <v>1</v>
      </c>
      <c r="K78" s="85" t="n"/>
      <c r="L78" s="85" t="n"/>
      <c r="M78" s="85" t="n"/>
      <c r="N78" s="7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328" t="n"/>
      <c r="Z78" s="328" t="n"/>
      <c r="AA78" s="85" t="n"/>
      <c r="AB78" s="85" t="n"/>
      <c r="AC78" s="85" t="n"/>
      <c r="AD78" s="85" t="n"/>
      <c r="AE78" s="85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218" t="n"/>
    </row>
    <row r="79" ht="24" customHeight="1">
      <c r="A79" s="65" t="inlineStr">
        <is>
          <t>P013</t>
        </is>
      </c>
      <c r="B79" s="96" t="n">
        <v>3</v>
      </c>
      <c r="C79" s="96" t="inlineStr">
        <is>
          <t>O4-S1-EA</t>
        </is>
      </c>
      <c r="D79" s="96" t="n">
        <v>2</v>
      </c>
      <c r="E79" s="96" t="inlineStr">
        <is>
          <t>游戏手柄</t>
        </is>
      </c>
      <c r="F79" s="96" t="inlineStr">
        <is>
          <t>gamepad</t>
        </is>
      </c>
      <c r="G79" s="96" t="inlineStr">
        <is>
          <t>方法B</t>
        </is>
      </c>
      <c r="H79" s="96" t="inlineStr">
        <is>
          <t>One-Euro</t>
        </is>
      </c>
      <c r="I79" s="96" t="n">
        <v>1</v>
      </c>
      <c r="J79" s="96" t="n">
        <v>2</v>
      </c>
      <c r="K79" s="85" t="n"/>
      <c r="L79" s="85" t="n"/>
      <c r="M79" s="85" t="n"/>
      <c r="N79" s="7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328" t="n"/>
      <c r="Z79" s="328" t="n"/>
      <c r="AA79" s="85" t="n"/>
      <c r="AB79" s="85" t="n"/>
      <c r="AC79" s="85" t="n"/>
      <c r="AD79" s="85" t="n"/>
      <c r="AE79" s="85" t="n"/>
      <c r="AF79" s="78" t="n"/>
      <c r="AG79" s="78" t="n"/>
      <c r="AH79" s="78" t="n"/>
      <c r="AI79" s="78" t="n"/>
      <c r="AJ79" s="78" t="n"/>
      <c r="AK79" s="78" t="n"/>
      <c r="AL79" s="78" t="n"/>
      <c r="AM79" s="78" t="n"/>
      <c r="AN79" s="78" t="n"/>
      <c r="AO79" s="218" t="n"/>
    </row>
    <row r="80" ht="24" customHeight="1">
      <c r="A80" s="65" t="inlineStr">
        <is>
          <t>P013</t>
        </is>
      </c>
      <c r="B80" s="96" t="n">
        <v>4</v>
      </c>
      <c r="C80" s="96" t="inlineStr">
        <is>
          <t>O4-S1-EA</t>
        </is>
      </c>
      <c r="D80" s="96" t="n">
        <v>2</v>
      </c>
      <c r="E80" s="96" t="inlineStr">
        <is>
          <t>游戏手柄</t>
        </is>
      </c>
      <c r="F80" s="96" t="inlineStr">
        <is>
          <t>gamepad</t>
        </is>
      </c>
      <c r="G80" s="96" t="inlineStr">
        <is>
          <t>方法A</t>
        </is>
      </c>
      <c r="H80" s="96" t="inlineStr">
        <is>
          <t>EgoAnchor</t>
        </is>
      </c>
      <c r="I80" s="96" t="n">
        <v>2</v>
      </c>
      <c r="J80" s="96" t="n">
        <v>2</v>
      </c>
      <c r="K80" s="85" t="n"/>
      <c r="L80" s="85" t="n"/>
      <c r="M80" s="85" t="n"/>
      <c r="N80" s="7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328" t="n"/>
      <c r="Z80" s="328" t="n"/>
      <c r="AA80" s="85" t="n"/>
      <c r="AB80" s="85" t="n"/>
      <c r="AC80" s="85" t="n"/>
      <c r="AD80" s="85" t="n"/>
      <c r="AE80" s="85" t="n"/>
      <c r="AF80" s="78" t="n"/>
      <c r="AG80" s="78" t="n"/>
      <c r="AH80" s="78" t="n"/>
      <c r="AI80" s="78" t="n"/>
      <c r="AJ80" s="78" t="n"/>
      <c r="AK80" s="78" t="n"/>
      <c r="AL80" s="78" t="n"/>
      <c r="AM80" s="78" t="n"/>
      <c r="AN80" s="78" t="n"/>
      <c r="AO80" s="218" t="n"/>
    </row>
    <row r="81" ht="24" customHeight="1">
      <c r="A81" s="65" t="inlineStr">
        <is>
          <t>P013</t>
        </is>
      </c>
      <c r="B81" s="96" t="n">
        <v>5</v>
      </c>
      <c r="C81" s="96" t="inlineStr">
        <is>
          <t>O4-S1-EA</t>
        </is>
      </c>
      <c r="D81" s="96" t="n">
        <v>3</v>
      </c>
      <c r="E81" s="96" t="inlineStr">
        <is>
          <t>鼠标</t>
        </is>
      </c>
      <c r="F81" s="96" t="inlineStr">
        <is>
          <t>blue_mouse</t>
        </is>
      </c>
      <c r="G81" s="96" t="inlineStr">
        <is>
          <t>方法A</t>
        </is>
      </c>
      <c r="H81" s="96" t="inlineStr">
        <is>
          <t>EgoAnchor</t>
        </is>
      </c>
      <c r="I81" s="96" t="n">
        <v>1</v>
      </c>
      <c r="J81" s="96" t="n">
        <v>3</v>
      </c>
      <c r="K81" s="85" t="n"/>
      <c r="L81" s="85" t="n"/>
      <c r="M81" s="85" t="n"/>
      <c r="N81" s="7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328" t="n"/>
      <c r="Z81" s="328" t="n"/>
      <c r="AA81" s="85" t="n"/>
      <c r="AB81" s="85" t="n"/>
      <c r="AC81" s="85" t="n"/>
      <c r="AD81" s="85" t="n"/>
      <c r="AE81" s="85" t="n"/>
      <c r="AF81" s="78" t="n"/>
      <c r="AG81" s="78" t="n"/>
      <c r="AH81" s="78" t="n"/>
      <c r="AI81" s="78" t="n"/>
      <c r="AJ81" s="78" t="n"/>
      <c r="AK81" s="78" t="n"/>
      <c r="AL81" s="78" t="n"/>
      <c r="AM81" s="78" t="n"/>
      <c r="AN81" s="78" t="n"/>
      <c r="AO81" s="218" t="n"/>
    </row>
    <row r="82" ht="24" customHeight="1">
      <c r="A82" s="262" t="inlineStr">
        <is>
          <t>P013</t>
        </is>
      </c>
      <c r="B82" s="263" t="n">
        <v>6</v>
      </c>
      <c r="C82" s="263" t="inlineStr">
        <is>
          <t>O4-S1-EA</t>
        </is>
      </c>
      <c r="D82" s="263" t="n">
        <v>3</v>
      </c>
      <c r="E82" s="263" t="inlineStr">
        <is>
          <t>鼠标</t>
        </is>
      </c>
      <c r="F82" s="263" t="inlineStr">
        <is>
          <t>blue_mouse</t>
        </is>
      </c>
      <c r="G82" s="263" t="inlineStr">
        <is>
          <t>方法B</t>
        </is>
      </c>
      <c r="H82" s="263" t="inlineStr">
        <is>
          <t>One-Euro</t>
        </is>
      </c>
      <c r="I82" s="263" t="n">
        <v>2</v>
      </c>
      <c r="J82" s="263" t="n">
        <v>3</v>
      </c>
      <c r="K82" s="266" t="n"/>
      <c r="L82" s="266" t="n"/>
      <c r="M82" s="266" t="n"/>
      <c r="N82" s="278" t="n"/>
      <c r="O82" s="266" t="n"/>
      <c r="P82" s="266" t="n"/>
      <c r="Q82" s="266" t="n"/>
      <c r="R82" s="266" t="n"/>
      <c r="S82" s="266" t="n"/>
      <c r="T82" s="266" t="n"/>
      <c r="U82" s="266" t="n"/>
      <c r="V82" s="266" t="n"/>
      <c r="W82" s="266" t="n"/>
      <c r="X82" s="266" t="n"/>
      <c r="Y82" s="329" t="n"/>
      <c r="Z82" s="329" t="n"/>
      <c r="AA82" s="266" t="n"/>
      <c r="AB82" s="266" t="n"/>
      <c r="AC82" s="266" t="n"/>
      <c r="AD82" s="266" t="n"/>
      <c r="AE82" s="266" t="n"/>
      <c r="AF82" s="279" t="n"/>
      <c r="AG82" s="279" t="n"/>
      <c r="AH82" s="279" t="n"/>
      <c r="AI82" s="279" t="n"/>
      <c r="AJ82" s="279" t="n"/>
      <c r="AK82" s="279" t="n"/>
      <c r="AL82" s="279" t="n"/>
      <c r="AM82" s="279" t="n"/>
      <c r="AN82" s="279" t="n"/>
      <c r="AO82" s="279" t="n"/>
    </row>
    <row r="83" ht="24" customHeight="1">
      <c r="A83" s="65" t="inlineStr">
        <is>
          <t>P014</t>
        </is>
      </c>
      <c r="B83" s="96" t="n">
        <v>1</v>
      </c>
      <c r="C83" s="96" t="inlineStr">
        <is>
          <t>O4-S2-EA</t>
        </is>
      </c>
      <c r="D83" s="96" t="n">
        <v>1</v>
      </c>
      <c r="E83" s="96" t="inlineStr">
        <is>
          <t>固定订书机</t>
        </is>
      </c>
      <c r="F83" s="96" t="inlineStr">
        <is>
          <t>stapler</t>
        </is>
      </c>
      <c r="G83" s="96" t="inlineStr">
        <is>
          <t>方法B</t>
        </is>
      </c>
      <c r="H83" s="96" t="inlineStr">
        <is>
          <t>One-Euro</t>
        </is>
      </c>
      <c r="I83" s="96" t="n">
        <v>1</v>
      </c>
      <c r="J83" s="96" t="n">
        <v>1</v>
      </c>
      <c r="K83" s="85" t="n"/>
      <c r="L83" s="85" t="n"/>
      <c r="M83" s="85" t="n"/>
      <c r="N83" s="7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328" t="n"/>
      <c r="Z83" s="328" t="n"/>
      <c r="AA83" s="85" t="n"/>
      <c r="AB83" s="85" t="n"/>
      <c r="AC83" s="85" t="n"/>
      <c r="AD83" s="85" t="n"/>
      <c r="AE83" s="85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218" t="n"/>
    </row>
    <row r="84" ht="24" customHeight="1">
      <c r="A84" s="65" t="inlineStr">
        <is>
          <t>P014</t>
        </is>
      </c>
      <c r="B84" s="96" t="n">
        <v>2</v>
      </c>
      <c r="C84" s="96" t="inlineStr">
        <is>
          <t>O4-S2-EA</t>
        </is>
      </c>
      <c r="D84" s="96" t="n">
        <v>1</v>
      </c>
      <c r="E84" s="96" t="inlineStr">
        <is>
          <t>固定订书机</t>
        </is>
      </c>
      <c r="F84" s="96" t="inlineStr">
        <is>
          <t>stapler</t>
        </is>
      </c>
      <c r="G84" s="96" t="inlineStr">
        <is>
          <t>方法A</t>
        </is>
      </c>
      <c r="H84" s="96" t="inlineStr">
        <is>
          <t>EgoAnchor</t>
        </is>
      </c>
      <c r="I84" s="96" t="n">
        <v>2</v>
      </c>
      <c r="J84" s="96" t="n">
        <v>1</v>
      </c>
      <c r="K84" s="85" t="n"/>
      <c r="L84" s="85" t="n"/>
      <c r="M84" s="85" t="n"/>
      <c r="N84" s="7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328" t="n"/>
      <c r="Z84" s="328" t="n"/>
      <c r="AA84" s="85" t="n"/>
      <c r="AB84" s="85" t="n"/>
      <c r="AC84" s="85" t="n"/>
      <c r="AD84" s="85" t="n"/>
      <c r="AE84" s="85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218" t="n"/>
    </row>
    <row r="85" ht="24" customHeight="1">
      <c r="A85" s="65" t="inlineStr">
        <is>
          <t>P014</t>
        </is>
      </c>
      <c r="B85" s="96" t="n">
        <v>3</v>
      </c>
      <c r="C85" s="96" t="inlineStr">
        <is>
          <t>O4-S2-EA</t>
        </is>
      </c>
      <c r="D85" s="96" t="n">
        <v>2</v>
      </c>
      <c r="E85" s="96" t="inlineStr">
        <is>
          <t>游戏手柄</t>
        </is>
      </c>
      <c r="F85" s="96" t="inlineStr">
        <is>
          <t>gamepad</t>
        </is>
      </c>
      <c r="G85" s="96" t="inlineStr">
        <is>
          <t>方法A</t>
        </is>
      </c>
      <c r="H85" s="96" t="inlineStr">
        <is>
          <t>EgoAnchor</t>
        </is>
      </c>
      <c r="I85" s="96" t="n">
        <v>1</v>
      </c>
      <c r="J85" s="96" t="n">
        <v>2</v>
      </c>
      <c r="K85" s="85" t="n"/>
      <c r="L85" s="85" t="n"/>
      <c r="M85" s="85" t="n"/>
      <c r="N85" s="7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328" t="n"/>
      <c r="Z85" s="328" t="n"/>
      <c r="AA85" s="85" t="n"/>
      <c r="AB85" s="85" t="n"/>
      <c r="AC85" s="85" t="n"/>
      <c r="AD85" s="85" t="n"/>
      <c r="AE85" s="85" t="n"/>
      <c r="AF85" s="78" t="n"/>
      <c r="AG85" s="78" t="n"/>
      <c r="AH85" s="78" t="n"/>
      <c r="AI85" s="78" t="n"/>
      <c r="AJ85" s="78" t="n"/>
      <c r="AK85" s="78" t="n"/>
      <c r="AL85" s="78" t="n"/>
      <c r="AM85" s="78" t="n"/>
      <c r="AN85" s="78" t="n"/>
      <c r="AO85" s="218" t="n"/>
    </row>
    <row r="86" ht="24" customHeight="1">
      <c r="A86" s="65" t="inlineStr">
        <is>
          <t>P014</t>
        </is>
      </c>
      <c r="B86" s="96" t="n">
        <v>4</v>
      </c>
      <c r="C86" s="96" t="inlineStr">
        <is>
          <t>O4-S2-EA</t>
        </is>
      </c>
      <c r="D86" s="96" t="n">
        <v>2</v>
      </c>
      <c r="E86" s="96" t="inlineStr">
        <is>
          <t>游戏手柄</t>
        </is>
      </c>
      <c r="F86" s="96" t="inlineStr">
        <is>
          <t>gamepad</t>
        </is>
      </c>
      <c r="G86" s="96" t="inlineStr">
        <is>
          <t>方法B</t>
        </is>
      </c>
      <c r="H86" s="96" t="inlineStr">
        <is>
          <t>One-Euro</t>
        </is>
      </c>
      <c r="I86" s="96" t="n">
        <v>2</v>
      </c>
      <c r="J86" s="96" t="n">
        <v>2</v>
      </c>
      <c r="K86" s="85" t="n"/>
      <c r="L86" s="85" t="n"/>
      <c r="M86" s="85" t="n"/>
      <c r="N86" s="7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328" t="n"/>
      <c r="Z86" s="328" t="n"/>
      <c r="AA86" s="85" t="n"/>
      <c r="AB86" s="85" t="n"/>
      <c r="AC86" s="85" t="n"/>
      <c r="AD86" s="85" t="n"/>
      <c r="AE86" s="85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218" t="n"/>
    </row>
    <row r="87" ht="24" customHeight="1">
      <c r="A87" s="65" t="inlineStr">
        <is>
          <t>P014</t>
        </is>
      </c>
      <c r="B87" s="96" t="n">
        <v>5</v>
      </c>
      <c r="C87" s="96" t="inlineStr">
        <is>
          <t>O4-S2-EA</t>
        </is>
      </c>
      <c r="D87" s="96" t="n">
        <v>3</v>
      </c>
      <c r="E87" s="96" t="inlineStr">
        <is>
          <t>鼠标</t>
        </is>
      </c>
      <c r="F87" s="96" t="inlineStr">
        <is>
          <t>blue_mouse</t>
        </is>
      </c>
      <c r="G87" s="96" t="inlineStr">
        <is>
          <t>方法B</t>
        </is>
      </c>
      <c r="H87" s="96" t="inlineStr">
        <is>
          <t>One-Euro</t>
        </is>
      </c>
      <c r="I87" s="96" t="n">
        <v>1</v>
      </c>
      <c r="J87" s="96" t="n">
        <v>3</v>
      </c>
      <c r="K87" s="85" t="n"/>
      <c r="L87" s="85" t="n"/>
      <c r="M87" s="85" t="n"/>
      <c r="N87" s="7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328" t="n"/>
      <c r="Z87" s="328" t="n"/>
      <c r="AA87" s="85" t="n"/>
      <c r="AB87" s="85" t="n"/>
      <c r="AC87" s="85" t="n"/>
      <c r="AD87" s="85" t="n"/>
      <c r="AE87" s="85" t="n"/>
      <c r="AF87" s="78" t="n"/>
      <c r="AG87" s="78" t="n"/>
      <c r="AH87" s="78" t="n"/>
      <c r="AI87" s="78" t="n"/>
      <c r="AJ87" s="78" t="n"/>
      <c r="AK87" s="78" t="n"/>
      <c r="AL87" s="78" t="n"/>
      <c r="AM87" s="78" t="n"/>
      <c r="AN87" s="78" t="n"/>
      <c r="AO87" s="218" t="n"/>
    </row>
    <row r="88" ht="24" customHeight="1">
      <c r="A88" s="262" t="inlineStr">
        <is>
          <t>P014</t>
        </is>
      </c>
      <c r="B88" s="263" t="n">
        <v>6</v>
      </c>
      <c r="C88" s="263" t="inlineStr">
        <is>
          <t>O4-S2-EA</t>
        </is>
      </c>
      <c r="D88" s="263" t="n">
        <v>3</v>
      </c>
      <c r="E88" s="263" t="inlineStr">
        <is>
          <t>鼠标</t>
        </is>
      </c>
      <c r="F88" s="263" t="inlineStr">
        <is>
          <t>blue_mouse</t>
        </is>
      </c>
      <c r="G88" s="263" t="inlineStr">
        <is>
          <t>方法A</t>
        </is>
      </c>
      <c r="H88" s="263" t="inlineStr">
        <is>
          <t>EgoAnchor</t>
        </is>
      </c>
      <c r="I88" s="263" t="n">
        <v>2</v>
      </c>
      <c r="J88" s="263" t="n">
        <v>3</v>
      </c>
      <c r="K88" s="266" t="n"/>
      <c r="L88" s="266" t="n"/>
      <c r="M88" s="266" t="n"/>
      <c r="N88" s="278" t="n"/>
      <c r="O88" s="266" t="n"/>
      <c r="P88" s="266" t="n"/>
      <c r="Q88" s="266" t="n"/>
      <c r="R88" s="266" t="n"/>
      <c r="S88" s="266" t="n"/>
      <c r="T88" s="266" t="n"/>
      <c r="U88" s="266" t="n"/>
      <c r="V88" s="266" t="n"/>
      <c r="W88" s="266" t="n"/>
      <c r="X88" s="266" t="n"/>
      <c r="Y88" s="329" t="n"/>
      <c r="Z88" s="329" t="n"/>
      <c r="AA88" s="266" t="n"/>
      <c r="AB88" s="266" t="n"/>
      <c r="AC88" s="266" t="n"/>
      <c r="AD88" s="266" t="n"/>
      <c r="AE88" s="266" t="n"/>
      <c r="AF88" s="279" t="n"/>
      <c r="AG88" s="279" t="n"/>
      <c r="AH88" s="279" t="n"/>
      <c r="AI88" s="279" t="n"/>
      <c r="AJ88" s="279" t="n"/>
      <c r="AK88" s="279" t="n"/>
      <c r="AL88" s="279" t="n"/>
      <c r="AM88" s="279" t="n"/>
      <c r="AN88" s="279" t="n"/>
      <c r="AO88" s="279" t="n"/>
    </row>
    <row r="89" ht="24" customHeight="1">
      <c r="A89" s="65" t="inlineStr">
        <is>
          <t>P015</t>
        </is>
      </c>
      <c r="B89" s="96" t="n">
        <v>1</v>
      </c>
      <c r="C89" s="96" t="inlineStr">
        <is>
          <t>O4-S2-OE</t>
        </is>
      </c>
      <c r="D89" s="96" t="n">
        <v>1</v>
      </c>
      <c r="E89" s="96" t="inlineStr">
        <is>
          <t>固定订书机</t>
        </is>
      </c>
      <c r="F89" s="96" t="inlineStr">
        <is>
          <t>stapler</t>
        </is>
      </c>
      <c r="G89" s="96" t="inlineStr">
        <is>
          <t>方法B</t>
        </is>
      </c>
      <c r="H89" s="96" t="inlineStr">
        <is>
          <t>EgoAnchor</t>
        </is>
      </c>
      <c r="I89" s="96" t="n">
        <v>1</v>
      </c>
      <c r="J89" s="96" t="n">
        <v>1</v>
      </c>
      <c r="K89" s="85" t="n"/>
      <c r="L89" s="85" t="n"/>
      <c r="M89" s="85" t="n"/>
      <c r="N89" s="7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328" t="n"/>
      <c r="Z89" s="328" t="n"/>
      <c r="AA89" s="85" t="n"/>
      <c r="AB89" s="85" t="n"/>
      <c r="AC89" s="85" t="n"/>
      <c r="AD89" s="85" t="n"/>
      <c r="AE89" s="85" t="n"/>
      <c r="AF89" s="78" t="n"/>
      <c r="AG89" s="78" t="n"/>
      <c r="AH89" s="78" t="n"/>
      <c r="AI89" s="78" t="n"/>
      <c r="AJ89" s="78" t="n"/>
      <c r="AK89" s="78" t="n"/>
      <c r="AL89" s="78" t="n"/>
      <c r="AM89" s="78" t="n"/>
      <c r="AN89" s="78" t="n"/>
      <c r="AO89" s="218" t="n"/>
    </row>
    <row r="90" ht="24" customHeight="1">
      <c r="A90" s="65" t="inlineStr">
        <is>
          <t>P015</t>
        </is>
      </c>
      <c r="B90" s="96" t="n">
        <v>2</v>
      </c>
      <c r="C90" s="96" t="inlineStr">
        <is>
          <t>O4-S2-OE</t>
        </is>
      </c>
      <c r="D90" s="96" t="n">
        <v>1</v>
      </c>
      <c r="E90" s="96" t="inlineStr">
        <is>
          <t>固定订书机</t>
        </is>
      </c>
      <c r="F90" s="96" t="inlineStr">
        <is>
          <t>stapler</t>
        </is>
      </c>
      <c r="G90" s="96" t="inlineStr">
        <is>
          <t>方法A</t>
        </is>
      </c>
      <c r="H90" s="96" t="inlineStr">
        <is>
          <t>One-Euro</t>
        </is>
      </c>
      <c r="I90" s="96" t="n">
        <v>2</v>
      </c>
      <c r="J90" s="96" t="n">
        <v>1</v>
      </c>
      <c r="K90" s="85" t="n"/>
      <c r="L90" s="85" t="n"/>
      <c r="M90" s="85" t="n"/>
      <c r="N90" s="7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328" t="n"/>
      <c r="Z90" s="328" t="n"/>
      <c r="AA90" s="85" t="n"/>
      <c r="AB90" s="85" t="n"/>
      <c r="AC90" s="85" t="n"/>
      <c r="AD90" s="85" t="n"/>
      <c r="AE90" s="85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218" t="n"/>
    </row>
    <row r="91" ht="24" customHeight="1">
      <c r="A91" s="65" t="inlineStr">
        <is>
          <t>P015</t>
        </is>
      </c>
      <c r="B91" s="96" t="n">
        <v>3</v>
      </c>
      <c r="C91" s="96" t="inlineStr">
        <is>
          <t>O4-S2-OE</t>
        </is>
      </c>
      <c r="D91" s="96" t="n">
        <v>2</v>
      </c>
      <c r="E91" s="96" t="inlineStr">
        <is>
          <t>游戏手柄</t>
        </is>
      </c>
      <c r="F91" s="96" t="inlineStr">
        <is>
          <t>gamepad</t>
        </is>
      </c>
      <c r="G91" s="96" t="inlineStr">
        <is>
          <t>方法A</t>
        </is>
      </c>
      <c r="H91" s="96" t="inlineStr">
        <is>
          <t>One-Euro</t>
        </is>
      </c>
      <c r="I91" s="96" t="n">
        <v>1</v>
      </c>
      <c r="J91" s="96" t="n">
        <v>2</v>
      </c>
      <c r="K91" s="85" t="n"/>
      <c r="L91" s="85" t="n"/>
      <c r="M91" s="85" t="n"/>
      <c r="N91" s="7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328" t="n"/>
      <c r="Z91" s="328" t="n"/>
      <c r="AA91" s="85" t="n"/>
      <c r="AB91" s="85" t="n"/>
      <c r="AC91" s="85" t="n"/>
      <c r="AD91" s="85" t="n"/>
      <c r="AE91" s="85" t="n"/>
      <c r="AF91" s="78" t="n"/>
      <c r="AG91" s="78" t="n"/>
      <c r="AH91" s="78" t="n"/>
      <c r="AI91" s="78" t="n"/>
      <c r="AJ91" s="78" t="n"/>
      <c r="AK91" s="78" t="n"/>
      <c r="AL91" s="78" t="n"/>
      <c r="AM91" s="78" t="n"/>
      <c r="AN91" s="78" t="n"/>
      <c r="AO91" s="218" t="n"/>
    </row>
    <row r="92" ht="24" customHeight="1">
      <c r="A92" s="65" t="inlineStr">
        <is>
          <t>P015</t>
        </is>
      </c>
      <c r="B92" s="96" t="n">
        <v>4</v>
      </c>
      <c r="C92" s="96" t="inlineStr">
        <is>
          <t>O4-S2-OE</t>
        </is>
      </c>
      <c r="D92" s="96" t="n">
        <v>2</v>
      </c>
      <c r="E92" s="96" t="inlineStr">
        <is>
          <t>游戏手柄</t>
        </is>
      </c>
      <c r="F92" s="96" t="inlineStr">
        <is>
          <t>gamepad</t>
        </is>
      </c>
      <c r="G92" s="96" t="inlineStr">
        <is>
          <t>方法B</t>
        </is>
      </c>
      <c r="H92" s="96" t="inlineStr">
        <is>
          <t>EgoAnchor</t>
        </is>
      </c>
      <c r="I92" s="96" t="n">
        <v>2</v>
      </c>
      <c r="J92" s="96" t="n">
        <v>2</v>
      </c>
      <c r="K92" s="85" t="n"/>
      <c r="L92" s="85" t="n"/>
      <c r="M92" s="85" t="n"/>
      <c r="N92" s="7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328" t="n"/>
      <c r="Z92" s="328" t="n"/>
      <c r="AA92" s="85" t="n"/>
      <c r="AB92" s="85" t="n"/>
      <c r="AC92" s="85" t="n"/>
      <c r="AD92" s="85" t="n"/>
      <c r="AE92" s="85" t="n"/>
      <c r="AF92" s="78" t="n"/>
      <c r="AG92" s="78" t="n"/>
      <c r="AH92" s="78" t="n"/>
      <c r="AI92" s="78" t="n"/>
      <c r="AJ92" s="78" t="n"/>
      <c r="AK92" s="78" t="n"/>
      <c r="AL92" s="78" t="n"/>
      <c r="AM92" s="78" t="n"/>
      <c r="AN92" s="78" t="n"/>
      <c r="AO92" s="218" t="n"/>
    </row>
    <row r="93" ht="24" customHeight="1">
      <c r="A93" s="65" t="inlineStr">
        <is>
          <t>P015</t>
        </is>
      </c>
      <c r="B93" s="96" t="n">
        <v>5</v>
      </c>
      <c r="C93" s="96" t="inlineStr">
        <is>
          <t>O4-S2-OE</t>
        </is>
      </c>
      <c r="D93" s="96" t="n">
        <v>3</v>
      </c>
      <c r="E93" s="96" t="inlineStr">
        <is>
          <t>鼠标</t>
        </is>
      </c>
      <c r="F93" s="96" t="inlineStr">
        <is>
          <t>blue_mouse</t>
        </is>
      </c>
      <c r="G93" s="96" t="inlineStr">
        <is>
          <t>方法B</t>
        </is>
      </c>
      <c r="H93" s="96" t="inlineStr">
        <is>
          <t>EgoAnchor</t>
        </is>
      </c>
      <c r="I93" s="96" t="n">
        <v>1</v>
      </c>
      <c r="J93" s="96" t="n">
        <v>3</v>
      </c>
      <c r="K93" s="85" t="n"/>
      <c r="L93" s="85" t="n"/>
      <c r="M93" s="85" t="n"/>
      <c r="N93" s="7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328" t="n"/>
      <c r="Z93" s="328" t="n"/>
      <c r="AA93" s="85" t="n"/>
      <c r="AB93" s="85" t="n"/>
      <c r="AC93" s="85" t="n"/>
      <c r="AD93" s="85" t="n"/>
      <c r="AE93" s="85" t="n"/>
      <c r="AF93" s="78" t="n"/>
      <c r="AG93" s="78" t="n"/>
      <c r="AH93" s="78" t="n"/>
      <c r="AI93" s="78" t="n"/>
      <c r="AJ93" s="78" t="n"/>
      <c r="AK93" s="78" t="n"/>
      <c r="AL93" s="78" t="n"/>
      <c r="AM93" s="78" t="n"/>
      <c r="AN93" s="78" t="n"/>
      <c r="AO93" s="218" t="n"/>
    </row>
    <row r="94" ht="24" customHeight="1">
      <c r="A94" s="262" t="inlineStr">
        <is>
          <t>P015</t>
        </is>
      </c>
      <c r="B94" s="263" t="n">
        <v>6</v>
      </c>
      <c r="C94" s="263" t="inlineStr">
        <is>
          <t>O4-S2-OE</t>
        </is>
      </c>
      <c r="D94" s="263" t="n">
        <v>3</v>
      </c>
      <c r="E94" s="263" t="inlineStr">
        <is>
          <t>鼠标</t>
        </is>
      </c>
      <c r="F94" s="263" t="inlineStr">
        <is>
          <t>blue_mouse</t>
        </is>
      </c>
      <c r="G94" s="263" t="inlineStr">
        <is>
          <t>方法A</t>
        </is>
      </c>
      <c r="H94" s="263" t="inlineStr">
        <is>
          <t>One-Euro</t>
        </is>
      </c>
      <c r="I94" s="263" t="n">
        <v>2</v>
      </c>
      <c r="J94" s="263" t="n">
        <v>3</v>
      </c>
      <c r="K94" s="266" t="n"/>
      <c r="L94" s="266" t="n"/>
      <c r="M94" s="266" t="n"/>
      <c r="N94" s="278" t="n"/>
      <c r="O94" s="266" t="n"/>
      <c r="P94" s="266" t="n"/>
      <c r="Q94" s="266" t="n"/>
      <c r="R94" s="266" t="n"/>
      <c r="S94" s="266" t="n"/>
      <c r="T94" s="266" t="n"/>
      <c r="U94" s="266" t="n"/>
      <c r="V94" s="266" t="n"/>
      <c r="W94" s="266" t="n"/>
      <c r="X94" s="266" t="n"/>
      <c r="Y94" s="329" t="n"/>
      <c r="Z94" s="329" t="n"/>
      <c r="AA94" s="266" t="n"/>
      <c r="AB94" s="266" t="n"/>
      <c r="AC94" s="266" t="n"/>
      <c r="AD94" s="266" t="n"/>
      <c r="AE94" s="266" t="n"/>
      <c r="AF94" s="279" t="n"/>
      <c r="AG94" s="279" t="n"/>
      <c r="AH94" s="279" t="n"/>
      <c r="AI94" s="279" t="n"/>
      <c r="AJ94" s="279" t="n"/>
      <c r="AK94" s="279" t="n"/>
      <c r="AL94" s="279" t="n"/>
      <c r="AM94" s="279" t="n"/>
      <c r="AN94" s="279" t="n"/>
      <c r="AO94" s="279" t="n"/>
    </row>
    <row r="95" ht="24" customHeight="1">
      <c r="A95" s="65" t="inlineStr">
        <is>
          <t>P016</t>
        </is>
      </c>
      <c r="B95" s="96" t="n">
        <v>1</v>
      </c>
      <c r="C95" s="96" t="inlineStr">
        <is>
          <t>O4-S1-OE</t>
        </is>
      </c>
      <c r="D95" s="96" t="n">
        <v>1</v>
      </c>
      <c r="E95" s="96" t="inlineStr">
        <is>
          <t>固定订书机</t>
        </is>
      </c>
      <c r="F95" s="96" t="inlineStr">
        <is>
          <t>stapler</t>
        </is>
      </c>
      <c r="G95" s="96" t="inlineStr">
        <is>
          <t>方法A</t>
        </is>
      </c>
      <c r="H95" s="96" t="inlineStr">
        <is>
          <t>One-Euro</t>
        </is>
      </c>
      <c r="I95" s="96" t="n">
        <v>1</v>
      </c>
      <c r="J95" s="96" t="n">
        <v>1</v>
      </c>
      <c r="K95" s="85" t="n"/>
      <c r="L95" s="85" t="n"/>
      <c r="M95" s="85" t="n"/>
      <c r="N95" s="7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328" t="n"/>
      <c r="Z95" s="328" t="n"/>
      <c r="AA95" s="85" t="n"/>
      <c r="AB95" s="85" t="n"/>
      <c r="AC95" s="85" t="n"/>
      <c r="AD95" s="85" t="n"/>
      <c r="AE95" s="85" t="n"/>
      <c r="AF95" s="78" t="n"/>
      <c r="AG95" s="78" t="n"/>
      <c r="AH95" s="78" t="n"/>
      <c r="AI95" s="78" t="n"/>
      <c r="AJ95" s="78" t="n"/>
      <c r="AK95" s="78" t="n"/>
      <c r="AL95" s="78" t="n"/>
      <c r="AM95" s="78" t="n"/>
      <c r="AN95" s="78" t="n"/>
      <c r="AO95" s="218" t="n"/>
    </row>
    <row r="96" ht="24" customHeight="1">
      <c r="A96" s="65" t="inlineStr">
        <is>
          <t>P016</t>
        </is>
      </c>
      <c r="B96" s="96" t="n">
        <v>2</v>
      </c>
      <c r="C96" s="96" t="inlineStr">
        <is>
          <t>O4-S1-OE</t>
        </is>
      </c>
      <c r="D96" s="96" t="n">
        <v>1</v>
      </c>
      <c r="E96" s="96" t="inlineStr">
        <is>
          <t>固定订书机</t>
        </is>
      </c>
      <c r="F96" s="96" t="inlineStr">
        <is>
          <t>stapler</t>
        </is>
      </c>
      <c r="G96" s="96" t="inlineStr">
        <is>
          <t>方法B</t>
        </is>
      </c>
      <c r="H96" s="96" t="inlineStr">
        <is>
          <t>EgoAnchor</t>
        </is>
      </c>
      <c r="I96" s="96" t="n">
        <v>2</v>
      </c>
      <c r="J96" s="96" t="n">
        <v>1</v>
      </c>
      <c r="K96" s="85" t="n"/>
      <c r="L96" s="85" t="n"/>
      <c r="M96" s="85" t="n"/>
      <c r="N96" s="7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328" t="n"/>
      <c r="Z96" s="328" t="n"/>
      <c r="AA96" s="85" t="n"/>
      <c r="AB96" s="85" t="n"/>
      <c r="AC96" s="85" t="n"/>
      <c r="AD96" s="85" t="n"/>
      <c r="AE96" s="85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218" t="n"/>
    </row>
    <row r="97" ht="24" customHeight="1">
      <c r="A97" s="65" t="inlineStr">
        <is>
          <t>P016</t>
        </is>
      </c>
      <c r="B97" s="96" t="n">
        <v>3</v>
      </c>
      <c r="C97" s="96" t="inlineStr">
        <is>
          <t>O4-S1-OE</t>
        </is>
      </c>
      <c r="D97" s="96" t="n">
        <v>2</v>
      </c>
      <c r="E97" s="96" t="inlineStr">
        <is>
          <t>游戏手柄</t>
        </is>
      </c>
      <c r="F97" s="96" t="inlineStr">
        <is>
          <t>gamepad</t>
        </is>
      </c>
      <c r="G97" s="96" t="inlineStr">
        <is>
          <t>方法B</t>
        </is>
      </c>
      <c r="H97" s="96" t="inlineStr">
        <is>
          <t>EgoAnchor</t>
        </is>
      </c>
      <c r="I97" s="96" t="n">
        <v>1</v>
      </c>
      <c r="J97" s="96" t="n">
        <v>2</v>
      </c>
      <c r="K97" s="85" t="n"/>
      <c r="L97" s="85" t="n"/>
      <c r="M97" s="85" t="n"/>
      <c r="N97" s="7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328" t="n"/>
      <c r="Z97" s="328" t="n"/>
      <c r="AA97" s="85" t="n"/>
      <c r="AB97" s="85" t="n"/>
      <c r="AC97" s="85" t="n"/>
      <c r="AD97" s="85" t="n"/>
      <c r="AE97" s="85" t="n"/>
      <c r="AF97" s="78" t="n"/>
      <c r="AG97" s="78" t="n"/>
      <c r="AH97" s="78" t="n"/>
      <c r="AI97" s="78" t="n"/>
      <c r="AJ97" s="78" t="n"/>
      <c r="AK97" s="78" t="n"/>
      <c r="AL97" s="78" t="n"/>
      <c r="AM97" s="78" t="n"/>
      <c r="AN97" s="78" t="n"/>
      <c r="AO97" s="218" t="n"/>
    </row>
    <row r="98" ht="24" customHeight="1">
      <c r="A98" s="65" t="inlineStr">
        <is>
          <t>P016</t>
        </is>
      </c>
      <c r="B98" s="96" t="n">
        <v>4</v>
      </c>
      <c r="C98" s="96" t="inlineStr">
        <is>
          <t>O4-S1-OE</t>
        </is>
      </c>
      <c r="D98" s="96" t="n">
        <v>2</v>
      </c>
      <c r="E98" s="96" t="inlineStr">
        <is>
          <t>游戏手柄</t>
        </is>
      </c>
      <c r="F98" s="96" t="inlineStr">
        <is>
          <t>gamepad</t>
        </is>
      </c>
      <c r="G98" s="96" t="inlineStr">
        <is>
          <t>方法A</t>
        </is>
      </c>
      <c r="H98" s="96" t="inlineStr">
        <is>
          <t>One-Euro</t>
        </is>
      </c>
      <c r="I98" s="96" t="n">
        <v>2</v>
      </c>
      <c r="J98" s="96" t="n">
        <v>2</v>
      </c>
      <c r="K98" s="85" t="n"/>
      <c r="L98" s="85" t="n"/>
      <c r="M98" s="85" t="n"/>
      <c r="N98" s="7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328" t="n"/>
      <c r="Z98" s="328" t="n"/>
      <c r="AA98" s="85" t="n"/>
      <c r="AB98" s="85" t="n"/>
      <c r="AC98" s="85" t="n"/>
      <c r="AD98" s="85" t="n"/>
      <c r="AE98" s="85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218" t="n"/>
    </row>
    <row r="99" ht="24" customHeight="1">
      <c r="A99" s="65" t="inlineStr">
        <is>
          <t>P016</t>
        </is>
      </c>
      <c r="B99" s="96" t="n">
        <v>5</v>
      </c>
      <c r="C99" s="96" t="inlineStr">
        <is>
          <t>O4-S1-OE</t>
        </is>
      </c>
      <c r="D99" s="96" t="n">
        <v>3</v>
      </c>
      <c r="E99" s="96" t="inlineStr">
        <is>
          <t>鼠标</t>
        </is>
      </c>
      <c r="F99" s="96" t="inlineStr">
        <is>
          <t>blue_mouse</t>
        </is>
      </c>
      <c r="G99" s="96" t="inlineStr">
        <is>
          <t>方法A</t>
        </is>
      </c>
      <c r="H99" s="96" t="inlineStr">
        <is>
          <t>One-Euro</t>
        </is>
      </c>
      <c r="I99" s="96" t="n">
        <v>1</v>
      </c>
      <c r="J99" s="96" t="n">
        <v>3</v>
      </c>
      <c r="K99" s="85" t="n"/>
      <c r="L99" s="85" t="n"/>
      <c r="M99" s="85" t="n"/>
      <c r="N99" s="7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328" t="n"/>
      <c r="Z99" s="328" t="n"/>
      <c r="AA99" s="85" t="n"/>
      <c r="AB99" s="85" t="n"/>
      <c r="AC99" s="85" t="n"/>
      <c r="AD99" s="85" t="n"/>
      <c r="AE99" s="85" t="n"/>
      <c r="AF99" s="78" t="n"/>
      <c r="AG99" s="78" t="n"/>
      <c r="AH99" s="78" t="n"/>
      <c r="AI99" s="78" t="n"/>
      <c r="AJ99" s="78" t="n"/>
      <c r="AK99" s="78" t="n"/>
      <c r="AL99" s="78" t="n"/>
      <c r="AM99" s="78" t="n"/>
      <c r="AN99" s="78" t="n"/>
      <c r="AO99" s="218" t="n"/>
    </row>
    <row r="100" ht="24" customHeight="1">
      <c r="A100" s="262" t="inlineStr">
        <is>
          <t>P016</t>
        </is>
      </c>
      <c r="B100" s="263" t="n">
        <v>6</v>
      </c>
      <c r="C100" s="263" t="inlineStr">
        <is>
          <t>O4-S1-OE</t>
        </is>
      </c>
      <c r="D100" s="263" t="n">
        <v>3</v>
      </c>
      <c r="E100" s="263" t="inlineStr">
        <is>
          <t>鼠标</t>
        </is>
      </c>
      <c r="F100" s="263" t="inlineStr">
        <is>
          <t>blue_mouse</t>
        </is>
      </c>
      <c r="G100" s="263" t="inlineStr">
        <is>
          <t>方法B</t>
        </is>
      </c>
      <c r="H100" s="263" t="inlineStr">
        <is>
          <t>EgoAnchor</t>
        </is>
      </c>
      <c r="I100" s="263" t="n">
        <v>2</v>
      </c>
      <c r="J100" s="263" t="n">
        <v>3</v>
      </c>
      <c r="K100" s="266" t="n"/>
      <c r="L100" s="266" t="n"/>
      <c r="M100" s="266" t="n"/>
      <c r="N100" s="278" t="n"/>
      <c r="O100" s="266" t="n"/>
      <c r="P100" s="266" t="n"/>
      <c r="Q100" s="266" t="n"/>
      <c r="R100" s="266" t="n"/>
      <c r="S100" s="266" t="n"/>
      <c r="T100" s="266" t="n"/>
      <c r="U100" s="266" t="n"/>
      <c r="V100" s="266" t="n"/>
      <c r="W100" s="266" t="n"/>
      <c r="X100" s="266" t="n"/>
      <c r="Y100" s="329" t="n"/>
      <c r="Z100" s="329" t="n"/>
      <c r="AA100" s="266" t="n"/>
      <c r="AB100" s="266" t="n"/>
      <c r="AC100" s="266" t="n"/>
      <c r="AD100" s="266" t="n"/>
      <c r="AE100" s="266" t="n"/>
      <c r="AF100" s="279" t="n"/>
      <c r="AG100" s="279" t="n"/>
      <c r="AH100" s="279" t="n"/>
      <c r="AI100" s="279" t="n"/>
      <c r="AJ100" s="279" t="n"/>
      <c r="AK100" s="279" t="n"/>
      <c r="AL100" s="279" t="n"/>
      <c r="AM100" s="279" t="n"/>
      <c r="AN100" s="279" t="n"/>
      <c r="AO100" s="279" t="n"/>
    </row>
    <row r="101" ht="24" customHeight="1">
      <c r="A101" s="65" t="inlineStr">
        <is>
          <t>P017</t>
        </is>
      </c>
      <c r="B101" s="96" t="n">
        <v>1</v>
      </c>
      <c r="C101" s="96" t="inlineStr">
        <is>
          <t>O5-S1-EA</t>
        </is>
      </c>
      <c r="D101" s="96" t="n">
        <v>1</v>
      </c>
      <c r="E101" s="96" t="inlineStr">
        <is>
          <t>游戏手柄</t>
        </is>
      </c>
      <c r="F101" s="96" t="inlineStr">
        <is>
          <t>gamepad</t>
        </is>
      </c>
      <c r="G101" s="96" t="inlineStr">
        <is>
          <t>方法A</t>
        </is>
      </c>
      <c r="H101" s="96" t="inlineStr">
        <is>
          <t>EgoAnchor</t>
        </is>
      </c>
      <c r="I101" s="96" t="n">
        <v>1</v>
      </c>
      <c r="J101" s="96" t="n">
        <v>1</v>
      </c>
      <c r="K101" s="85" t="n"/>
      <c r="L101" s="85" t="n"/>
      <c r="M101" s="85" t="n"/>
      <c r="N101" s="7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328" t="n"/>
      <c r="Z101" s="328" t="n"/>
      <c r="AA101" s="85" t="n"/>
      <c r="AB101" s="85" t="n"/>
      <c r="AC101" s="85" t="n"/>
      <c r="AD101" s="85" t="n"/>
      <c r="AE101" s="85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218" t="n"/>
    </row>
    <row r="102" ht="24" customHeight="1">
      <c r="A102" s="65" t="inlineStr">
        <is>
          <t>P017</t>
        </is>
      </c>
      <c r="B102" s="96" t="n">
        <v>2</v>
      </c>
      <c r="C102" s="96" t="inlineStr">
        <is>
          <t>O5-S1-EA</t>
        </is>
      </c>
      <c r="D102" s="96" t="n">
        <v>1</v>
      </c>
      <c r="E102" s="96" t="inlineStr">
        <is>
          <t>游戏手柄</t>
        </is>
      </c>
      <c r="F102" s="96" t="inlineStr">
        <is>
          <t>gamepad</t>
        </is>
      </c>
      <c r="G102" s="96" t="inlineStr">
        <is>
          <t>方法B</t>
        </is>
      </c>
      <c r="H102" s="96" t="inlineStr">
        <is>
          <t>One-Euro</t>
        </is>
      </c>
      <c r="I102" s="96" t="n">
        <v>2</v>
      </c>
      <c r="J102" s="96" t="n">
        <v>1</v>
      </c>
      <c r="K102" s="85" t="n"/>
      <c r="L102" s="85" t="n"/>
      <c r="M102" s="85" t="n"/>
      <c r="N102" s="7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328" t="n"/>
      <c r="Z102" s="328" t="n"/>
      <c r="AA102" s="85" t="n"/>
      <c r="AB102" s="85" t="n"/>
      <c r="AC102" s="85" t="n"/>
      <c r="AD102" s="85" t="n"/>
      <c r="AE102" s="85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218" t="n"/>
    </row>
    <row r="103" ht="24" customHeight="1">
      <c r="A103" s="65" t="inlineStr">
        <is>
          <t>P017</t>
        </is>
      </c>
      <c r="B103" s="96" t="n">
        <v>3</v>
      </c>
      <c r="C103" s="96" t="inlineStr">
        <is>
          <t>O5-S1-EA</t>
        </is>
      </c>
      <c r="D103" s="96" t="n">
        <v>2</v>
      </c>
      <c r="E103" s="96" t="inlineStr">
        <is>
          <t>鼠标</t>
        </is>
      </c>
      <c r="F103" s="96" t="inlineStr">
        <is>
          <t>blue_mouse</t>
        </is>
      </c>
      <c r="G103" s="96" t="inlineStr">
        <is>
          <t>方法B</t>
        </is>
      </c>
      <c r="H103" s="96" t="inlineStr">
        <is>
          <t>One-Euro</t>
        </is>
      </c>
      <c r="I103" s="96" t="n">
        <v>1</v>
      </c>
      <c r="J103" s="96" t="n">
        <v>2</v>
      </c>
      <c r="K103" s="85" t="n"/>
      <c r="L103" s="85" t="n"/>
      <c r="M103" s="85" t="n"/>
      <c r="N103" s="7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328" t="n"/>
      <c r="Z103" s="328" t="n"/>
      <c r="AA103" s="85" t="n"/>
      <c r="AB103" s="85" t="n"/>
      <c r="AC103" s="85" t="n"/>
      <c r="AD103" s="85" t="n"/>
      <c r="AE103" s="85" t="n"/>
      <c r="AF103" s="78" t="n"/>
      <c r="AG103" s="78" t="n"/>
      <c r="AH103" s="78" t="n"/>
      <c r="AI103" s="78" t="n"/>
      <c r="AJ103" s="78" t="n"/>
      <c r="AK103" s="78" t="n"/>
      <c r="AL103" s="78" t="n"/>
      <c r="AM103" s="78" t="n"/>
      <c r="AN103" s="78" t="n"/>
      <c r="AO103" s="218" t="n"/>
    </row>
    <row r="104" ht="24" customHeight="1">
      <c r="A104" s="65" t="inlineStr">
        <is>
          <t>P017</t>
        </is>
      </c>
      <c r="B104" s="96" t="n">
        <v>4</v>
      </c>
      <c r="C104" s="96" t="inlineStr">
        <is>
          <t>O5-S1-EA</t>
        </is>
      </c>
      <c r="D104" s="96" t="n">
        <v>2</v>
      </c>
      <c r="E104" s="96" t="inlineStr">
        <is>
          <t>鼠标</t>
        </is>
      </c>
      <c r="F104" s="96" t="inlineStr">
        <is>
          <t>blue_mouse</t>
        </is>
      </c>
      <c r="G104" s="96" t="inlineStr">
        <is>
          <t>方法A</t>
        </is>
      </c>
      <c r="H104" s="96" t="inlineStr">
        <is>
          <t>EgoAnchor</t>
        </is>
      </c>
      <c r="I104" s="96" t="n">
        <v>2</v>
      </c>
      <c r="J104" s="96" t="n">
        <v>2</v>
      </c>
      <c r="K104" s="85" t="n"/>
      <c r="L104" s="85" t="n"/>
      <c r="M104" s="85" t="n"/>
      <c r="N104" s="7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328" t="n"/>
      <c r="Z104" s="328" t="n"/>
      <c r="AA104" s="85" t="n"/>
      <c r="AB104" s="85" t="n"/>
      <c r="AC104" s="85" t="n"/>
      <c r="AD104" s="85" t="n"/>
      <c r="AE104" s="85" t="n"/>
      <c r="AF104" s="78" t="n"/>
      <c r="AG104" s="78" t="n"/>
      <c r="AH104" s="78" t="n"/>
      <c r="AI104" s="78" t="n"/>
      <c r="AJ104" s="78" t="n"/>
      <c r="AK104" s="78" t="n"/>
      <c r="AL104" s="78" t="n"/>
      <c r="AM104" s="78" t="n"/>
      <c r="AN104" s="78" t="n"/>
      <c r="AO104" s="218" t="n"/>
    </row>
    <row r="105" ht="24" customHeight="1">
      <c r="A105" s="65" t="inlineStr">
        <is>
          <t>P017</t>
        </is>
      </c>
      <c r="B105" s="96" t="n">
        <v>5</v>
      </c>
      <c r="C105" s="96" t="inlineStr">
        <is>
          <t>O5-S1-EA</t>
        </is>
      </c>
      <c r="D105" s="96" t="n">
        <v>3</v>
      </c>
      <c r="E105" s="96" t="inlineStr">
        <is>
          <t>固定订书机</t>
        </is>
      </c>
      <c r="F105" s="96" t="inlineStr">
        <is>
          <t>stapler</t>
        </is>
      </c>
      <c r="G105" s="96" t="inlineStr">
        <is>
          <t>方法A</t>
        </is>
      </c>
      <c r="H105" s="96" t="inlineStr">
        <is>
          <t>EgoAnchor</t>
        </is>
      </c>
      <c r="I105" s="96" t="n">
        <v>1</v>
      </c>
      <c r="J105" s="96" t="n">
        <v>3</v>
      </c>
      <c r="K105" s="85" t="n"/>
      <c r="L105" s="85" t="n"/>
      <c r="M105" s="85" t="n"/>
      <c r="N105" s="7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328" t="n"/>
      <c r="Z105" s="328" t="n"/>
      <c r="AA105" s="85" t="n"/>
      <c r="AB105" s="85" t="n"/>
      <c r="AC105" s="85" t="n"/>
      <c r="AD105" s="85" t="n"/>
      <c r="AE105" s="85" t="n"/>
      <c r="AF105" s="78" t="n"/>
      <c r="AG105" s="78" t="n"/>
      <c r="AH105" s="78" t="n"/>
      <c r="AI105" s="78" t="n"/>
      <c r="AJ105" s="78" t="n"/>
      <c r="AK105" s="78" t="n"/>
      <c r="AL105" s="78" t="n"/>
      <c r="AM105" s="78" t="n"/>
      <c r="AN105" s="78" t="n"/>
      <c r="AO105" s="218" t="n"/>
    </row>
    <row r="106" ht="24" customHeight="1">
      <c r="A106" s="262" t="inlineStr">
        <is>
          <t>P017</t>
        </is>
      </c>
      <c r="B106" s="263" t="n">
        <v>6</v>
      </c>
      <c r="C106" s="263" t="inlineStr">
        <is>
          <t>O5-S1-EA</t>
        </is>
      </c>
      <c r="D106" s="263" t="n">
        <v>3</v>
      </c>
      <c r="E106" s="263" t="inlineStr">
        <is>
          <t>固定订书机</t>
        </is>
      </c>
      <c r="F106" s="263" t="inlineStr">
        <is>
          <t>stapler</t>
        </is>
      </c>
      <c r="G106" s="263" t="inlineStr">
        <is>
          <t>方法B</t>
        </is>
      </c>
      <c r="H106" s="263" t="inlineStr">
        <is>
          <t>One-Euro</t>
        </is>
      </c>
      <c r="I106" s="263" t="n">
        <v>2</v>
      </c>
      <c r="J106" s="263" t="n">
        <v>3</v>
      </c>
      <c r="K106" s="266" t="n"/>
      <c r="L106" s="266" t="n"/>
      <c r="M106" s="266" t="n"/>
      <c r="N106" s="278" t="n"/>
      <c r="O106" s="266" t="n"/>
      <c r="P106" s="266" t="n"/>
      <c r="Q106" s="266" t="n"/>
      <c r="R106" s="266" t="n"/>
      <c r="S106" s="266" t="n"/>
      <c r="T106" s="266" t="n"/>
      <c r="U106" s="266" t="n"/>
      <c r="V106" s="266" t="n"/>
      <c r="W106" s="266" t="n"/>
      <c r="X106" s="266" t="n"/>
      <c r="Y106" s="329" t="n"/>
      <c r="Z106" s="329" t="n"/>
      <c r="AA106" s="266" t="n"/>
      <c r="AB106" s="266" t="n"/>
      <c r="AC106" s="266" t="n"/>
      <c r="AD106" s="266" t="n"/>
      <c r="AE106" s="266" t="n"/>
      <c r="AF106" s="279" t="n"/>
      <c r="AG106" s="279" t="n"/>
      <c r="AH106" s="279" t="n"/>
      <c r="AI106" s="279" t="n"/>
      <c r="AJ106" s="279" t="n"/>
      <c r="AK106" s="279" t="n"/>
      <c r="AL106" s="279" t="n"/>
      <c r="AM106" s="279" t="n"/>
      <c r="AN106" s="279" t="n"/>
      <c r="AO106" s="279" t="n"/>
    </row>
    <row r="107" ht="24" customHeight="1">
      <c r="A107" s="65" t="inlineStr">
        <is>
          <t>P018</t>
        </is>
      </c>
      <c r="B107" s="96" t="n">
        <v>1</v>
      </c>
      <c r="C107" s="96" t="inlineStr">
        <is>
          <t>O5-S2-EA</t>
        </is>
      </c>
      <c r="D107" s="96" t="n">
        <v>1</v>
      </c>
      <c r="E107" s="96" t="inlineStr">
        <is>
          <t>游戏手柄</t>
        </is>
      </c>
      <c r="F107" s="96" t="inlineStr">
        <is>
          <t>gamepad</t>
        </is>
      </c>
      <c r="G107" s="96" t="inlineStr">
        <is>
          <t>方法B</t>
        </is>
      </c>
      <c r="H107" s="96" t="inlineStr">
        <is>
          <t>One-Euro</t>
        </is>
      </c>
      <c r="I107" s="96" t="n">
        <v>1</v>
      </c>
      <c r="J107" s="96" t="n">
        <v>1</v>
      </c>
      <c r="K107" s="85" t="n"/>
      <c r="L107" s="85" t="n"/>
      <c r="M107" s="85" t="n"/>
      <c r="N107" s="7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328" t="n"/>
      <c r="Z107" s="328" t="n"/>
      <c r="AA107" s="85" t="n"/>
      <c r="AB107" s="85" t="n"/>
      <c r="AC107" s="85" t="n"/>
      <c r="AD107" s="85" t="n"/>
      <c r="AE107" s="85" t="n"/>
      <c r="AF107" s="78" t="n"/>
      <c r="AG107" s="78" t="n"/>
      <c r="AH107" s="78" t="n"/>
      <c r="AI107" s="78" t="n"/>
      <c r="AJ107" s="78" t="n"/>
      <c r="AK107" s="78" t="n"/>
      <c r="AL107" s="78" t="n"/>
      <c r="AM107" s="78" t="n"/>
      <c r="AN107" s="78" t="n"/>
      <c r="AO107" s="218" t="n"/>
    </row>
    <row r="108" ht="24" customHeight="1">
      <c r="A108" s="65" t="inlineStr">
        <is>
          <t>P018</t>
        </is>
      </c>
      <c r="B108" s="96" t="n">
        <v>2</v>
      </c>
      <c r="C108" s="96" t="inlineStr">
        <is>
          <t>O5-S2-EA</t>
        </is>
      </c>
      <c r="D108" s="96" t="n">
        <v>1</v>
      </c>
      <c r="E108" s="96" t="inlineStr">
        <is>
          <t>游戏手柄</t>
        </is>
      </c>
      <c r="F108" s="96" t="inlineStr">
        <is>
          <t>gamepad</t>
        </is>
      </c>
      <c r="G108" s="96" t="inlineStr">
        <is>
          <t>方法A</t>
        </is>
      </c>
      <c r="H108" s="96" t="inlineStr">
        <is>
          <t>EgoAnchor</t>
        </is>
      </c>
      <c r="I108" s="96" t="n">
        <v>2</v>
      </c>
      <c r="J108" s="96" t="n">
        <v>1</v>
      </c>
      <c r="K108" s="85" t="n"/>
      <c r="L108" s="85" t="n"/>
      <c r="M108" s="85" t="n"/>
      <c r="N108" s="7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328" t="n"/>
      <c r="Z108" s="328" t="n"/>
      <c r="AA108" s="85" t="n"/>
      <c r="AB108" s="85" t="n"/>
      <c r="AC108" s="85" t="n"/>
      <c r="AD108" s="85" t="n"/>
      <c r="AE108" s="85" t="n"/>
      <c r="AF108" s="78" t="n"/>
      <c r="AG108" s="78" t="n"/>
      <c r="AH108" s="78" t="n"/>
      <c r="AI108" s="78" t="n"/>
      <c r="AJ108" s="78" t="n"/>
      <c r="AK108" s="78" t="n"/>
      <c r="AL108" s="78" t="n"/>
      <c r="AM108" s="78" t="n"/>
      <c r="AN108" s="78" t="n"/>
      <c r="AO108" s="218" t="n"/>
    </row>
    <row r="109" ht="24" customHeight="1">
      <c r="A109" s="65" t="inlineStr">
        <is>
          <t>P018</t>
        </is>
      </c>
      <c r="B109" s="96" t="n">
        <v>3</v>
      </c>
      <c r="C109" s="96" t="inlineStr">
        <is>
          <t>O5-S2-EA</t>
        </is>
      </c>
      <c r="D109" s="96" t="n">
        <v>2</v>
      </c>
      <c r="E109" s="96" t="inlineStr">
        <is>
          <t>鼠标</t>
        </is>
      </c>
      <c r="F109" s="96" t="inlineStr">
        <is>
          <t>blue_mouse</t>
        </is>
      </c>
      <c r="G109" s="96" t="inlineStr">
        <is>
          <t>方法A</t>
        </is>
      </c>
      <c r="H109" s="96" t="inlineStr">
        <is>
          <t>EgoAnchor</t>
        </is>
      </c>
      <c r="I109" s="96" t="n">
        <v>1</v>
      </c>
      <c r="J109" s="96" t="n">
        <v>2</v>
      </c>
      <c r="K109" s="85" t="n"/>
      <c r="L109" s="85" t="n"/>
      <c r="M109" s="85" t="n"/>
      <c r="N109" s="7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328" t="n"/>
      <c r="Z109" s="328" t="n"/>
      <c r="AA109" s="85" t="n"/>
      <c r="AB109" s="85" t="n"/>
      <c r="AC109" s="85" t="n"/>
      <c r="AD109" s="85" t="n"/>
      <c r="AE109" s="85" t="n"/>
      <c r="AF109" s="78" t="n"/>
      <c r="AG109" s="78" t="n"/>
      <c r="AH109" s="78" t="n"/>
      <c r="AI109" s="78" t="n"/>
      <c r="AJ109" s="78" t="n"/>
      <c r="AK109" s="78" t="n"/>
      <c r="AL109" s="78" t="n"/>
      <c r="AM109" s="78" t="n"/>
      <c r="AN109" s="78" t="n"/>
      <c r="AO109" s="218" t="n"/>
    </row>
    <row r="110" ht="24" customHeight="1">
      <c r="A110" s="65" t="inlineStr">
        <is>
          <t>P018</t>
        </is>
      </c>
      <c r="B110" s="96" t="n">
        <v>4</v>
      </c>
      <c r="C110" s="96" t="inlineStr">
        <is>
          <t>O5-S2-EA</t>
        </is>
      </c>
      <c r="D110" s="96" t="n">
        <v>2</v>
      </c>
      <c r="E110" s="96" t="inlineStr">
        <is>
          <t>鼠标</t>
        </is>
      </c>
      <c r="F110" s="96" t="inlineStr">
        <is>
          <t>blue_mouse</t>
        </is>
      </c>
      <c r="G110" s="96" t="inlineStr">
        <is>
          <t>方法B</t>
        </is>
      </c>
      <c r="H110" s="96" t="inlineStr">
        <is>
          <t>One-Euro</t>
        </is>
      </c>
      <c r="I110" s="96" t="n">
        <v>2</v>
      </c>
      <c r="J110" s="96" t="n">
        <v>2</v>
      </c>
      <c r="K110" s="85" t="n"/>
      <c r="L110" s="85" t="n"/>
      <c r="M110" s="85" t="n"/>
      <c r="N110" s="7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328" t="n"/>
      <c r="Z110" s="328" t="n"/>
      <c r="AA110" s="85" t="n"/>
      <c r="AB110" s="85" t="n"/>
      <c r="AC110" s="85" t="n"/>
      <c r="AD110" s="85" t="n"/>
      <c r="AE110" s="85" t="n"/>
      <c r="AF110" s="78" t="n"/>
      <c r="AG110" s="78" t="n"/>
      <c r="AH110" s="78" t="n"/>
      <c r="AI110" s="78" t="n"/>
      <c r="AJ110" s="78" t="n"/>
      <c r="AK110" s="78" t="n"/>
      <c r="AL110" s="78" t="n"/>
      <c r="AM110" s="78" t="n"/>
      <c r="AN110" s="78" t="n"/>
      <c r="AO110" s="218" t="n"/>
    </row>
    <row r="111" ht="24" customHeight="1">
      <c r="A111" s="65" t="inlineStr">
        <is>
          <t>P018</t>
        </is>
      </c>
      <c r="B111" s="96" t="n">
        <v>5</v>
      </c>
      <c r="C111" s="96" t="inlineStr">
        <is>
          <t>O5-S2-EA</t>
        </is>
      </c>
      <c r="D111" s="96" t="n">
        <v>3</v>
      </c>
      <c r="E111" s="96" t="inlineStr">
        <is>
          <t>固定订书机</t>
        </is>
      </c>
      <c r="F111" s="96" t="inlineStr">
        <is>
          <t>stapler</t>
        </is>
      </c>
      <c r="G111" s="96" t="inlineStr">
        <is>
          <t>方法B</t>
        </is>
      </c>
      <c r="H111" s="96" t="inlineStr">
        <is>
          <t>One-Euro</t>
        </is>
      </c>
      <c r="I111" s="96" t="n">
        <v>1</v>
      </c>
      <c r="J111" s="96" t="n">
        <v>3</v>
      </c>
      <c r="K111" s="85" t="n"/>
      <c r="L111" s="85" t="n"/>
      <c r="M111" s="85" t="n"/>
      <c r="N111" s="7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328" t="n"/>
      <c r="Z111" s="328" t="n"/>
      <c r="AA111" s="85" t="n"/>
      <c r="AB111" s="85" t="n"/>
      <c r="AC111" s="85" t="n"/>
      <c r="AD111" s="85" t="n"/>
      <c r="AE111" s="85" t="n"/>
      <c r="AF111" s="78" t="n"/>
      <c r="AG111" s="78" t="n"/>
      <c r="AH111" s="78" t="n"/>
      <c r="AI111" s="78" t="n"/>
      <c r="AJ111" s="78" t="n"/>
      <c r="AK111" s="78" t="n"/>
      <c r="AL111" s="78" t="n"/>
      <c r="AM111" s="78" t="n"/>
      <c r="AN111" s="78" t="n"/>
      <c r="AO111" s="218" t="n"/>
    </row>
    <row r="112" ht="24" customHeight="1">
      <c r="A112" s="262" t="inlineStr">
        <is>
          <t>P018</t>
        </is>
      </c>
      <c r="B112" s="263" t="n">
        <v>6</v>
      </c>
      <c r="C112" s="263" t="inlineStr">
        <is>
          <t>O5-S2-EA</t>
        </is>
      </c>
      <c r="D112" s="263" t="n">
        <v>3</v>
      </c>
      <c r="E112" s="263" t="inlineStr">
        <is>
          <t>固定订书机</t>
        </is>
      </c>
      <c r="F112" s="263" t="inlineStr">
        <is>
          <t>stapler</t>
        </is>
      </c>
      <c r="G112" s="263" t="inlineStr">
        <is>
          <t>方法A</t>
        </is>
      </c>
      <c r="H112" s="263" t="inlineStr">
        <is>
          <t>EgoAnchor</t>
        </is>
      </c>
      <c r="I112" s="263" t="n">
        <v>2</v>
      </c>
      <c r="J112" s="263" t="n">
        <v>3</v>
      </c>
      <c r="K112" s="266" t="n"/>
      <c r="L112" s="266" t="n"/>
      <c r="M112" s="266" t="n"/>
      <c r="N112" s="278" t="n"/>
      <c r="O112" s="266" t="n"/>
      <c r="P112" s="266" t="n"/>
      <c r="Q112" s="266" t="n"/>
      <c r="R112" s="266" t="n"/>
      <c r="S112" s="266" t="n"/>
      <c r="T112" s="266" t="n"/>
      <c r="U112" s="266" t="n"/>
      <c r="V112" s="266" t="n"/>
      <c r="W112" s="266" t="n"/>
      <c r="X112" s="266" t="n"/>
      <c r="Y112" s="329" t="n"/>
      <c r="Z112" s="329" t="n"/>
      <c r="AA112" s="266" t="n"/>
      <c r="AB112" s="266" t="n"/>
      <c r="AC112" s="266" t="n"/>
      <c r="AD112" s="266" t="n"/>
      <c r="AE112" s="266" t="n"/>
      <c r="AF112" s="279" t="n"/>
      <c r="AG112" s="279" t="n"/>
      <c r="AH112" s="279" t="n"/>
      <c r="AI112" s="279" t="n"/>
      <c r="AJ112" s="279" t="n"/>
      <c r="AK112" s="279" t="n"/>
      <c r="AL112" s="279" t="n"/>
      <c r="AM112" s="279" t="n"/>
      <c r="AN112" s="279" t="n"/>
      <c r="AO112" s="279" t="n"/>
    </row>
    <row r="113" ht="24" customHeight="1">
      <c r="A113" s="65" t="inlineStr">
        <is>
          <t>P019</t>
        </is>
      </c>
      <c r="B113" s="96" t="n">
        <v>1</v>
      </c>
      <c r="C113" s="96" t="inlineStr">
        <is>
          <t>O5-S2-OE</t>
        </is>
      </c>
      <c r="D113" s="96" t="n">
        <v>1</v>
      </c>
      <c r="E113" s="96" t="inlineStr">
        <is>
          <t>游戏手柄</t>
        </is>
      </c>
      <c r="F113" s="96" t="inlineStr">
        <is>
          <t>gamepad</t>
        </is>
      </c>
      <c r="G113" s="96" t="inlineStr">
        <is>
          <t>方法B</t>
        </is>
      </c>
      <c r="H113" s="96" t="inlineStr">
        <is>
          <t>EgoAnchor</t>
        </is>
      </c>
      <c r="I113" s="96" t="n">
        <v>1</v>
      </c>
      <c r="J113" s="96" t="n">
        <v>1</v>
      </c>
      <c r="K113" s="85" t="n"/>
      <c r="L113" s="85" t="n"/>
      <c r="M113" s="85" t="n"/>
      <c r="N113" s="7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328" t="n"/>
      <c r="Z113" s="328" t="n"/>
      <c r="AA113" s="85" t="n"/>
      <c r="AB113" s="85" t="n"/>
      <c r="AC113" s="85" t="n"/>
      <c r="AD113" s="85" t="n"/>
      <c r="AE113" s="85" t="n"/>
      <c r="AF113" s="78" t="n"/>
      <c r="AG113" s="78" t="n"/>
      <c r="AH113" s="78" t="n"/>
      <c r="AI113" s="78" t="n"/>
      <c r="AJ113" s="78" t="n"/>
      <c r="AK113" s="78" t="n"/>
      <c r="AL113" s="78" t="n"/>
      <c r="AM113" s="78" t="n"/>
      <c r="AN113" s="78" t="n"/>
      <c r="AO113" s="218" t="n"/>
    </row>
    <row r="114" ht="24" customHeight="1">
      <c r="A114" s="65" t="inlineStr">
        <is>
          <t>P019</t>
        </is>
      </c>
      <c r="B114" s="96" t="n">
        <v>2</v>
      </c>
      <c r="C114" s="96" t="inlineStr">
        <is>
          <t>O5-S2-OE</t>
        </is>
      </c>
      <c r="D114" s="96" t="n">
        <v>1</v>
      </c>
      <c r="E114" s="96" t="inlineStr">
        <is>
          <t>游戏手柄</t>
        </is>
      </c>
      <c r="F114" s="96" t="inlineStr">
        <is>
          <t>gamepad</t>
        </is>
      </c>
      <c r="G114" s="96" t="inlineStr">
        <is>
          <t>方法A</t>
        </is>
      </c>
      <c r="H114" s="96" t="inlineStr">
        <is>
          <t>One-Euro</t>
        </is>
      </c>
      <c r="I114" s="96" t="n">
        <v>2</v>
      </c>
      <c r="J114" s="96" t="n">
        <v>1</v>
      </c>
      <c r="K114" s="85" t="n"/>
      <c r="L114" s="85" t="n"/>
      <c r="M114" s="85" t="n"/>
      <c r="N114" s="7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328" t="n"/>
      <c r="Z114" s="328" t="n"/>
      <c r="AA114" s="85" t="n"/>
      <c r="AB114" s="85" t="n"/>
      <c r="AC114" s="85" t="n"/>
      <c r="AD114" s="85" t="n"/>
      <c r="AE114" s="85" t="n"/>
      <c r="AF114" s="78" t="n"/>
      <c r="AG114" s="78" t="n"/>
      <c r="AH114" s="78" t="n"/>
      <c r="AI114" s="78" t="n"/>
      <c r="AJ114" s="78" t="n"/>
      <c r="AK114" s="78" t="n"/>
      <c r="AL114" s="78" t="n"/>
      <c r="AM114" s="78" t="n"/>
      <c r="AN114" s="78" t="n"/>
      <c r="AO114" s="218" t="n"/>
    </row>
    <row r="115" ht="24" customHeight="1">
      <c r="A115" s="65" t="inlineStr">
        <is>
          <t>P019</t>
        </is>
      </c>
      <c r="B115" s="96" t="n">
        <v>3</v>
      </c>
      <c r="C115" s="96" t="inlineStr">
        <is>
          <t>O5-S2-OE</t>
        </is>
      </c>
      <c r="D115" s="96" t="n">
        <v>2</v>
      </c>
      <c r="E115" s="96" t="inlineStr">
        <is>
          <t>鼠标</t>
        </is>
      </c>
      <c r="F115" s="96" t="inlineStr">
        <is>
          <t>blue_mouse</t>
        </is>
      </c>
      <c r="G115" s="96" t="inlineStr">
        <is>
          <t>方法A</t>
        </is>
      </c>
      <c r="H115" s="96" t="inlineStr">
        <is>
          <t>One-Euro</t>
        </is>
      </c>
      <c r="I115" s="96" t="n">
        <v>1</v>
      </c>
      <c r="J115" s="96" t="n">
        <v>2</v>
      </c>
      <c r="K115" s="85" t="n"/>
      <c r="L115" s="85" t="n"/>
      <c r="M115" s="85" t="n"/>
      <c r="N115" s="7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328" t="n"/>
      <c r="Z115" s="328" t="n"/>
      <c r="AA115" s="85" t="n"/>
      <c r="AB115" s="85" t="n"/>
      <c r="AC115" s="85" t="n"/>
      <c r="AD115" s="85" t="n"/>
      <c r="AE115" s="85" t="n"/>
      <c r="AF115" s="78" t="n"/>
      <c r="AG115" s="78" t="n"/>
      <c r="AH115" s="78" t="n"/>
      <c r="AI115" s="78" t="n"/>
      <c r="AJ115" s="78" t="n"/>
      <c r="AK115" s="78" t="n"/>
      <c r="AL115" s="78" t="n"/>
      <c r="AM115" s="78" t="n"/>
      <c r="AN115" s="78" t="n"/>
      <c r="AO115" s="218" t="n"/>
    </row>
    <row r="116" ht="24" customHeight="1">
      <c r="A116" s="65" t="inlineStr">
        <is>
          <t>P019</t>
        </is>
      </c>
      <c r="B116" s="96" t="n">
        <v>4</v>
      </c>
      <c r="C116" s="96" t="inlineStr">
        <is>
          <t>O5-S2-OE</t>
        </is>
      </c>
      <c r="D116" s="96" t="n">
        <v>2</v>
      </c>
      <c r="E116" s="96" t="inlineStr">
        <is>
          <t>鼠标</t>
        </is>
      </c>
      <c r="F116" s="96" t="inlineStr">
        <is>
          <t>blue_mouse</t>
        </is>
      </c>
      <c r="G116" s="96" t="inlineStr">
        <is>
          <t>方法B</t>
        </is>
      </c>
      <c r="H116" s="96" t="inlineStr">
        <is>
          <t>EgoAnchor</t>
        </is>
      </c>
      <c r="I116" s="96" t="n">
        <v>2</v>
      </c>
      <c r="J116" s="96" t="n">
        <v>2</v>
      </c>
      <c r="K116" s="85" t="n"/>
      <c r="L116" s="85" t="n"/>
      <c r="M116" s="85" t="n"/>
      <c r="N116" s="7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328" t="n"/>
      <c r="Z116" s="328" t="n"/>
      <c r="AA116" s="85" t="n"/>
      <c r="AB116" s="85" t="n"/>
      <c r="AC116" s="85" t="n"/>
      <c r="AD116" s="85" t="n"/>
      <c r="AE116" s="85" t="n"/>
      <c r="AF116" s="78" t="n"/>
      <c r="AG116" s="78" t="n"/>
      <c r="AH116" s="78" t="n"/>
      <c r="AI116" s="78" t="n"/>
      <c r="AJ116" s="78" t="n"/>
      <c r="AK116" s="78" t="n"/>
      <c r="AL116" s="78" t="n"/>
      <c r="AM116" s="78" t="n"/>
      <c r="AN116" s="78" t="n"/>
      <c r="AO116" s="218" t="n"/>
    </row>
    <row r="117" ht="24" customHeight="1">
      <c r="A117" s="65" t="inlineStr">
        <is>
          <t>P019</t>
        </is>
      </c>
      <c r="B117" s="96" t="n">
        <v>5</v>
      </c>
      <c r="C117" s="96" t="inlineStr">
        <is>
          <t>O5-S2-OE</t>
        </is>
      </c>
      <c r="D117" s="96" t="n">
        <v>3</v>
      </c>
      <c r="E117" s="96" t="inlineStr">
        <is>
          <t>固定订书机</t>
        </is>
      </c>
      <c r="F117" s="96" t="inlineStr">
        <is>
          <t>stapler</t>
        </is>
      </c>
      <c r="G117" s="96" t="inlineStr">
        <is>
          <t>方法B</t>
        </is>
      </c>
      <c r="H117" s="96" t="inlineStr">
        <is>
          <t>EgoAnchor</t>
        </is>
      </c>
      <c r="I117" s="96" t="n">
        <v>1</v>
      </c>
      <c r="J117" s="96" t="n">
        <v>3</v>
      </c>
      <c r="K117" s="85" t="n"/>
      <c r="L117" s="85" t="n"/>
      <c r="M117" s="85" t="n"/>
      <c r="N117" s="7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328" t="n"/>
      <c r="Z117" s="328" t="n"/>
      <c r="AA117" s="85" t="n"/>
      <c r="AB117" s="85" t="n"/>
      <c r="AC117" s="85" t="n"/>
      <c r="AD117" s="85" t="n"/>
      <c r="AE117" s="85" t="n"/>
      <c r="AF117" s="78" t="n"/>
      <c r="AG117" s="78" t="n"/>
      <c r="AH117" s="78" t="n"/>
      <c r="AI117" s="78" t="n"/>
      <c r="AJ117" s="78" t="n"/>
      <c r="AK117" s="78" t="n"/>
      <c r="AL117" s="78" t="n"/>
      <c r="AM117" s="78" t="n"/>
      <c r="AN117" s="78" t="n"/>
      <c r="AO117" s="218" t="n"/>
    </row>
    <row r="118" ht="24" customHeight="1">
      <c r="A118" s="262" t="inlineStr">
        <is>
          <t>P019</t>
        </is>
      </c>
      <c r="B118" s="263" t="n">
        <v>6</v>
      </c>
      <c r="C118" s="263" t="inlineStr">
        <is>
          <t>O5-S2-OE</t>
        </is>
      </c>
      <c r="D118" s="263" t="n">
        <v>3</v>
      </c>
      <c r="E118" s="263" t="inlineStr">
        <is>
          <t>固定订书机</t>
        </is>
      </c>
      <c r="F118" s="263" t="inlineStr">
        <is>
          <t>stapler</t>
        </is>
      </c>
      <c r="G118" s="263" t="inlineStr">
        <is>
          <t>方法A</t>
        </is>
      </c>
      <c r="H118" s="263" t="inlineStr">
        <is>
          <t>One-Euro</t>
        </is>
      </c>
      <c r="I118" s="263" t="n">
        <v>2</v>
      </c>
      <c r="J118" s="263" t="n">
        <v>3</v>
      </c>
      <c r="K118" s="266" t="n"/>
      <c r="L118" s="266" t="n"/>
      <c r="M118" s="266" t="n"/>
      <c r="N118" s="278" t="n"/>
      <c r="O118" s="266" t="n"/>
      <c r="P118" s="266" t="n"/>
      <c r="Q118" s="266" t="n"/>
      <c r="R118" s="266" t="n"/>
      <c r="S118" s="266" t="n"/>
      <c r="T118" s="266" t="n"/>
      <c r="U118" s="266" t="n"/>
      <c r="V118" s="266" t="n"/>
      <c r="W118" s="266" t="n"/>
      <c r="X118" s="266" t="n"/>
      <c r="Y118" s="329" t="n"/>
      <c r="Z118" s="329" t="n"/>
      <c r="AA118" s="266" t="n"/>
      <c r="AB118" s="266" t="n"/>
      <c r="AC118" s="266" t="n"/>
      <c r="AD118" s="266" t="n"/>
      <c r="AE118" s="266" t="n"/>
      <c r="AF118" s="279" t="n"/>
      <c r="AG118" s="279" t="n"/>
      <c r="AH118" s="279" t="n"/>
      <c r="AI118" s="279" t="n"/>
      <c r="AJ118" s="279" t="n"/>
      <c r="AK118" s="279" t="n"/>
      <c r="AL118" s="279" t="n"/>
      <c r="AM118" s="279" t="n"/>
      <c r="AN118" s="279" t="n"/>
      <c r="AO118" s="279" t="n"/>
    </row>
    <row r="119" ht="24" customHeight="1">
      <c r="A119" s="65" t="inlineStr">
        <is>
          <t>P020</t>
        </is>
      </c>
      <c r="B119" s="96" t="n">
        <v>1</v>
      </c>
      <c r="C119" s="96" t="inlineStr">
        <is>
          <t>O5-S1-OE</t>
        </is>
      </c>
      <c r="D119" s="96" t="n">
        <v>1</v>
      </c>
      <c r="E119" s="96" t="inlineStr">
        <is>
          <t>游戏手柄</t>
        </is>
      </c>
      <c r="F119" s="96" t="inlineStr">
        <is>
          <t>gamepad</t>
        </is>
      </c>
      <c r="G119" s="96" t="inlineStr">
        <is>
          <t>方法A</t>
        </is>
      </c>
      <c r="H119" s="96" t="inlineStr">
        <is>
          <t>One-Euro</t>
        </is>
      </c>
      <c r="I119" s="96" t="n">
        <v>1</v>
      </c>
      <c r="J119" s="96" t="n">
        <v>1</v>
      </c>
      <c r="K119" s="85" t="n"/>
      <c r="L119" s="85" t="n"/>
      <c r="M119" s="85" t="n"/>
      <c r="N119" s="7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328" t="n"/>
      <c r="Z119" s="328" t="n"/>
      <c r="AA119" s="85" t="n"/>
      <c r="AB119" s="85" t="n"/>
      <c r="AC119" s="85" t="n"/>
      <c r="AD119" s="85" t="n"/>
      <c r="AE119" s="85" t="n"/>
      <c r="AF119" s="78" t="n"/>
      <c r="AG119" s="78" t="n"/>
      <c r="AH119" s="78" t="n"/>
      <c r="AI119" s="78" t="n"/>
      <c r="AJ119" s="78" t="n"/>
      <c r="AK119" s="78" t="n"/>
      <c r="AL119" s="78" t="n"/>
      <c r="AM119" s="78" t="n"/>
      <c r="AN119" s="78" t="n"/>
      <c r="AO119" s="218" t="n"/>
    </row>
    <row r="120" ht="24" customHeight="1">
      <c r="A120" s="65" t="inlineStr">
        <is>
          <t>P020</t>
        </is>
      </c>
      <c r="B120" s="96" t="n">
        <v>2</v>
      </c>
      <c r="C120" s="96" t="inlineStr">
        <is>
          <t>O5-S1-OE</t>
        </is>
      </c>
      <c r="D120" s="96" t="n">
        <v>1</v>
      </c>
      <c r="E120" s="96" t="inlineStr">
        <is>
          <t>游戏手柄</t>
        </is>
      </c>
      <c r="F120" s="96" t="inlineStr">
        <is>
          <t>gamepad</t>
        </is>
      </c>
      <c r="G120" s="96" t="inlineStr">
        <is>
          <t>方法B</t>
        </is>
      </c>
      <c r="H120" s="96" t="inlineStr">
        <is>
          <t>EgoAnchor</t>
        </is>
      </c>
      <c r="I120" s="96" t="n">
        <v>2</v>
      </c>
      <c r="J120" s="96" t="n">
        <v>1</v>
      </c>
      <c r="K120" s="85" t="n"/>
      <c r="L120" s="85" t="n"/>
      <c r="M120" s="85" t="n"/>
      <c r="N120" s="7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328" t="n"/>
      <c r="Z120" s="328" t="n"/>
      <c r="AA120" s="85" t="n"/>
      <c r="AB120" s="85" t="n"/>
      <c r="AC120" s="85" t="n"/>
      <c r="AD120" s="85" t="n"/>
      <c r="AE120" s="85" t="n"/>
      <c r="AF120" s="78" t="n"/>
      <c r="AG120" s="78" t="n"/>
      <c r="AH120" s="78" t="n"/>
      <c r="AI120" s="78" t="n"/>
      <c r="AJ120" s="78" t="n"/>
      <c r="AK120" s="78" t="n"/>
      <c r="AL120" s="78" t="n"/>
      <c r="AM120" s="78" t="n"/>
      <c r="AN120" s="78" t="n"/>
      <c r="AO120" s="218" t="n"/>
    </row>
    <row r="121" ht="24" customHeight="1">
      <c r="A121" s="65" t="inlineStr">
        <is>
          <t>P020</t>
        </is>
      </c>
      <c r="B121" s="96" t="n">
        <v>3</v>
      </c>
      <c r="C121" s="96" t="inlineStr">
        <is>
          <t>O5-S1-OE</t>
        </is>
      </c>
      <c r="D121" s="96" t="n">
        <v>2</v>
      </c>
      <c r="E121" s="96" t="inlineStr">
        <is>
          <t>鼠标</t>
        </is>
      </c>
      <c r="F121" s="96" t="inlineStr">
        <is>
          <t>blue_mouse</t>
        </is>
      </c>
      <c r="G121" s="96" t="inlineStr">
        <is>
          <t>方法B</t>
        </is>
      </c>
      <c r="H121" s="96" t="inlineStr">
        <is>
          <t>EgoAnchor</t>
        </is>
      </c>
      <c r="I121" s="96" t="n">
        <v>1</v>
      </c>
      <c r="J121" s="96" t="n">
        <v>2</v>
      </c>
      <c r="K121" s="85" t="n"/>
      <c r="L121" s="85" t="n"/>
      <c r="M121" s="85" t="n"/>
      <c r="N121" s="7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328" t="n"/>
      <c r="Z121" s="328" t="n"/>
      <c r="AA121" s="85" t="n"/>
      <c r="AB121" s="85" t="n"/>
      <c r="AC121" s="85" t="n"/>
      <c r="AD121" s="85" t="n"/>
      <c r="AE121" s="85" t="n"/>
      <c r="AF121" s="78" t="n"/>
      <c r="AG121" s="78" t="n"/>
      <c r="AH121" s="78" t="n"/>
      <c r="AI121" s="78" t="n"/>
      <c r="AJ121" s="78" t="n"/>
      <c r="AK121" s="78" t="n"/>
      <c r="AL121" s="78" t="n"/>
      <c r="AM121" s="78" t="n"/>
      <c r="AN121" s="78" t="n"/>
      <c r="AO121" s="218" t="n"/>
    </row>
    <row r="122" ht="24" customHeight="1">
      <c r="A122" s="65" t="inlineStr">
        <is>
          <t>P020</t>
        </is>
      </c>
      <c r="B122" s="96" t="n">
        <v>4</v>
      </c>
      <c r="C122" s="96" t="inlineStr">
        <is>
          <t>O5-S1-OE</t>
        </is>
      </c>
      <c r="D122" s="96" t="n">
        <v>2</v>
      </c>
      <c r="E122" s="96" t="inlineStr">
        <is>
          <t>鼠标</t>
        </is>
      </c>
      <c r="F122" s="96" t="inlineStr">
        <is>
          <t>blue_mouse</t>
        </is>
      </c>
      <c r="G122" s="96" t="inlineStr">
        <is>
          <t>方法A</t>
        </is>
      </c>
      <c r="H122" s="96" t="inlineStr">
        <is>
          <t>One-Euro</t>
        </is>
      </c>
      <c r="I122" s="96" t="n">
        <v>2</v>
      </c>
      <c r="J122" s="96" t="n">
        <v>2</v>
      </c>
      <c r="K122" s="85" t="n"/>
      <c r="L122" s="85" t="n"/>
      <c r="M122" s="85" t="n"/>
      <c r="N122" s="7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328" t="n"/>
      <c r="Z122" s="328" t="n"/>
      <c r="AA122" s="85" t="n"/>
      <c r="AB122" s="85" t="n"/>
      <c r="AC122" s="85" t="n"/>
      <c r="AD122" s="85" t="n"/>
      <c r="AE122" s="85" t="n"/>
      <c r="AF122" s="78" t="n"/>
      <c r="AG122" s="78" t="n"/>
      <c r="AH122" s="78" t="n"/>
      <c r="AI122" s="78" t="n"/>
      <c r="AJ122" s="78" t="n"/>
      <c r="AK122" s="78" t="n"/>
      <c r="AL122" s="78" t="n"/>
      <c r="AM122" s="78" t="n"/>
      <c r="AN122" s="78" t="n"/>
      <c r="AO122" s="218" t="n"/>
    </row>
    <row r="123" ht="24" customHeight="1">
      <c r="A123" s="65" t="inlineStr">
        <is>
          <t>P020</t>
        </is>
      </c>
      <c r="B123" s="96" t="n">
        <v>5</v>
      </c>
      <c r="C123" s="96" t="inlineStr">
        <is>
          <t>O5-S1-OE</t>
        </is>
      </c>
      <c r="D123" s="96" t="n">
        <v>3</v>
      </c>
      <c r="E123" s="96" t="inlineStr">
        <is>
          <t>固定订书机</t>
        </is>
      </c>
      <c r="F123" s="96" t="inlineStr">
        <is>
          <t>stapler</t>
        </is>
      </c>
      <c r="G123" s="96" t="inlineStr">
        <is>
          <t>方法A</t>
        </is>
      </c>
      <c r="H123" s="96" t="inlineStr">
        <is>
          <t>One-Euro</t>
        </is>
      </c>
      <c r="I123" s="96" t="n">
        <v>1</v>
      </c>
      <c r="J123" s="96" t="n">
        <v>3</v>
      </c>
      <c r="K123" s="85" t="n"/>
      <c r="L123" s="85" t="n"/>
      <c r="M123" s="85" t="n"/>
      <c r="N123" s="7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328" t="n"/>
      <c r="Z123" s="328" t="n"/>
      <c r="AA123" s="85" t="n"/>
      <c r="AB123" s="85" t="n"/>
      <c r="AC123" s="85" t="n"/>
      <c r="AD123" s="85" t="n"/>
      <c r="AE123" s="85" t="n"/>
      <c r="AF123" s="78" t="n"/>
      <c r="AG123" s="78" t="n"/>
      <c r="AH123" s="78" t="n"/>
      <c r="AI123" s="78" t="n"/>
      <c r="AJ123" s="78" t="n"/>
      <c r="AK123" s="78" t="n"/>
      <c r="AL123" s="78" t="n"/>
      <c r="AM123" s="78" t="n"/>
      <c r="AN123" s="78" t="n"/>
      <c r="AO123" s="218" t="n"/>
    </row>
    <row r="124" ht="24" customHeight="1">
      <c r="A124" s="262" t="inlineStr">
        <is>
          <t>P020</t>
        </is>
      </c>
      <c r="B124" s="263" t="n">
        <v>6</v>
      </c>
      <c r="C124" s="263" t="inlineStr">
        <is>
          <t>O5-S1-OE</t>
        </is>
      </c>
      <c r="D124" s="263" t="n">
        <v>3</v>
      </c>
      <c r="E124" s="263" t="inlineStr">
        <is>
          <t>固定订书机</t>
        </is>
      </c>
      <c r="F124" s="263" t="inlineStr">
        <is>
          <t>stapler</t>
        </is>
      </c>
      <c r="G124" s="263" t="inlineStr">
        <is>
          <t>方法B</t>
        </is>
      </c>
      <c r="H124" s="263" t="inlineStr">
        <is>
          <t>EgoAnchor</t>
        </is>
      </c>
      <c r="I124" s="263" t="n">
        <v>2</v>
      </c>
      <c r="J124" s="263" t="n">
        <v>3</v>
      </c>
      <c r="K124" s="266" t="n"/>
      <c r="L124" s="266" t="n"/>
      <c r="M124" s="266" t="n"/>
      <c r="N124" s="278" t="n"/>
      <c r="O124" s="266" t="n"/>
      <c r="P124" s="266" t="n"/>
      <c r="Q124" s="266" t="n"/>
      <c r="R124" s="266" t="n"/>
      <c r="S124" s="266" t="n"/>
      <c r="T124" s="266" t="n"/>
      <c r="U124" s="266" t="n"/>
      <c r="V124" s="266" t="n"/>
      <c r="W124" s="266" t="n"/>
      <c r="X124" s="266" t="n"/>
      <c r="Y124" s="329" t="n"/>
      <c r="Z124" s="329" t="n"/>
      <c r="AA124" s="266" t="n"/>
      <c r="AB124" s="266" t="n"/>
      <c r="AC124" s="266" t="n"/>
      <c r="AD124" s="266" t="n"/>
      <c r="AE124" s="266" t="n"/>
      <c r="AF124" s="279" t="n"/>
      <c r="AG124" s="279" t="n"/>
      <c r="AH124" s="279" t="n"/>
      <c r="AI124" s="279" t="n"/>
      <c r="AJ124" s="279" t="n"/>
      <c r="AK124" s="279" t="n"/>
      <c r="AL124" s="279" t="n"/>
      <c r="AM124" s="279" t="n"/>
      <c r="AN124" s="279" t="n"/>
      <c r="AO124" s="279" t="n"/>
    </row>
    <row r="125" ht="24" customHeight="1">
      <c r="A125" s="65" t="inlineStr">
        <is>
          <t>P021</t>
        </is>
      </c>
      <c r="B125" s="96" t="n">
        <v>1</v>
      </c>
      <c r="C125" s="96" t="inlineStr">
        <is>
          <t>O6-S1-EA</t>
        </is>
      </c>
      <c r="D125" s="96" t="n">
        <v>1</v>
      </c>
      <c r="E125" s="96" t="inlineStr">
        <is>
          <t>游戏手柄</t>
        </is>
      </c>
      <c r="F125" s="96" t="inlineStr">
        <is>
          <t>gamepad</t>
        </is>
      </c>
      <c r="G125" s="96" t="inlineStr">
        <is>
          <t>方法A</t>
        </is>
      </c>
      <c r="H125" s="96" t="inlineStr">
        <is>
          <t>EgoAnchor</t>
        </is>
      </c>
      <c r="I125" s="96" t="n">
        <v>1</v>
      </c>
      <c r="J125" s="96" t="n">
        <v>1</v>
      </c>
      <c r="K125" s="85" t="n"/>
      <c r="L125" s="85" t="n"/>
      <c r="M125" s="85" t="n"/>
      <c r="N125" s="7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328" t="n"/>
      <c r="Z125" s="328" t="n"/>
      <c r="AA125" s="85" t="n"/>
      <c r="AB125" s="85" t="n"/>
      <c r="AC125" s="85" t="n"/>
      <c r="AD125" s="85" t="n"/>
      <c r="AE125" s="85" t="n"/>
      <c r="AF125" s="78" t="n"/>
      <c r="AG125" s="78" t="n"/>
      <c r="AH125" s="78" t="n"/>
      <c r="AI125" s="78" t="n"/>
      <c r="AJ125" s="78" t="n"/>
      <c r="AK125" s="78" t="n"/>
      <c r="AL125" s="78" t="n"/>
      <c r="AM125" s="78" t="n"/>
      <c r="AN125" s="78" t="n"/>
      <c r="AO125" s="218" t="n"/>
    </row>
    <row r="126" ht="24" customHeight="1">
      <c r="A126" s="65" t="inlineStr">
        <is>
          <t>P021</t>
        </is>
      </c>
      <c r="B126" s="96" t="n">
        <v>2</v>
      </c>
      <c r="C126" s="96" t="inlineStr">
        <is>
          <t>O6-S1-EA</t>
        </is>
      </c>
      <c r="D126" s="96" t="n">
        <v>1</v>
      </c>
      <c r="E126" s="96" t="inlineStr">
        <is>
          <t>游戏手柄</t>
        </is>
      </c>
      <c r="F126" s="96" t="inlineStr">
        <is>
          <t>gamepad</t>
        </is>
      </c>
      <c r="G126" s="96" t="inlineStr">
        <is>
          <t>方法B</t>
        </is>
      </c>
      <c r="H126" s="96" t="inlineStr">
        <is>
          <t>One-Euro</t>
        </is>
      </c>
      <c r="I126" s="96" t="n">
        <v>2</v>
      </c>
      <c r="J126" s="96" t="n">
        <v>1</v>
      </c>
      <c r="K126" s="85" t="n"/>
      <c r="L126" s="85" t="n"/>
      <c r="M126" s="85" t="n"/>
      <c r="N126" s="7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328" t="n"/>
      <c r="Z126" s="328" t="n"/>
      <c r="AA126" s="85" t="n"/>
      <c r="AB126" s="85" t="n"/>
      <c r="AC126" s="85" t="n"/>
      <c r="AD126" s="85" t="n"/>
      <c r="AE126" s="85" t="n"/>
      <c r="AF126" s="78" t="n"/>
      <c r="AG126" s="78" t="n"/>
      <c r="AH126" s="78" t="n"/>
      <c r="AI126" s="78" t="n"/>
      <c r="AJ126" s="78" t="n"/>
      <c r="AK126" s="78" t="n"/>
      <c r="AL126" s="78" t="n"/>
      <c r="AM126" s="78" t="n"/>
      <c r="AN126" s="78" t="n"/>
      <c r="AO126" s="218" t="n"/>
    </row>
    <row r="127" ht="24" customHeight="1">
      <c r="A127" s="65" t="inlineStr">
        <is>
          <t>P021</t>
        </is>
      </c>
      <c r="B127" s="96" t="n">
        <v>3</v>
      </c>
      <c r="C127" s="96" t="inlineStr">
        <is>
          <t>O6-S1-EA</t>
        </is>
      </c>
      <c r="D127" s="96" t="n">
        <v>2</v>
      </c>
      <c r="E127" s="96" t="inlineStr">
        <is>
          <t>固定订书机</t>
        </is>
      </c>
      <c r="F127" s="96" t="inlineStr">
        <is>
          <t>stapler</t>
        </is>
      </c>
      <c r="G127" s="96" t="inlineStr">
        <is>
          <t>方法B</t>
        </is>
      </c>
      <c r="H127" s="96" t="inlineStr">
        <is>
          <t>One-Euro</t>
        </is>
      </c>
      <c r="I127" s="96" t="n">
        <v>1</v>
      </c>
      <c r="J127" s="96" t="n">
        <v>2</v>
      </c>
      <c r="K127" s="85" t="n"/>
      <c r="L127" s="85" t="n"/>
      <c r="M127" s="85" t="n"/>
      <c r="N127" s="7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328" t="n"/>
      <c r="Z127" s="328" t="n"/>
      <c r="AA127" s="85" t="n"/>
      <c r="AB127" s="85" t="n"/>
      <c r="AC127" s="85" t="n"/>
      <c r="AD127" s="85" t="n"/>
      <c r="AE127" s="85" t="n"/>
      <c r="AF127" s="78" t="n"/>
      <c r="AG127" s="78" t="n"/>
      <c r="AH127" s="78" t="n"/>
      <c r="AI127" s="78" t="n"/>
      <c r="AJ127" s="78" t="n"/>
      <c r="AK127" s="78" t="n"/>
      <c r="AL127" s="78" t="n"/>
      <c r="AM127" s="78" t="n"/>
      <c r="AN127" s="78" t="n"/>
      <c r="AO127" s="218" t="n"/>
    </row>
    <row r="128" ht="24" customHeight="1">
      <c r="A128" s="65" t="inlineStr">
        <is>
          <t>P021</t>
        </is>
      </c>
      <c r="B128" s="96" t="n">
        <v>4</v>
      </c>
      <c r="C128" s="96" t="inlineStr">
        <is>
          <t>O6-S1-EA</t>
        </is>
      </c>
      <c r="D128" s="96" t="n">
        <v>2</v>
      </c>
      <c r="E128" s="96" t="inlineStr">
        <is>
          <t>固定订书机</t>
        </is>
      </c>
      <c r="F128" s="96" t="inlineStr">
        <is>
          <t>stapler</t>
        </is>
      </c>
      <c r="G128" s="96" t="inlineStr">
        <is>
          <t>方法A</t>
        </is>
      </c>
      <c r="H128" s="96" t="inlineStr">
        <is>
          <t>EgoAnchor</t>
        </is>
      </c>
      <c r="I128" s="96" t="n">
        <v>2</v>
      </c>
      <c r="J128" s="96" t="n">
        <v>2</v>
      </c>
      <c r="K128" s="85" t="n"/>
      <c r="L128" s="85" t="n"/>
      <c r="M128" s="85" t="n"/>
      <c r="N128" s="7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328" t="n"/>
      <c r="Z128" s="328" t="n"/>
      <c r="AA128" s="85" t="n"/>
      <c r="AB128" s="85" t="n"/>
      <c r="AC128" s="85" t="n"/>
      <c r="AD128" s="85" t="n"/>
      <c r="AE128" s="85" t="n"/>
      <c r="AF128" s="78" t="n"/>
      <c r="AG128" s="78" t="n"/>
      <c r="AH128" s="78" t="n"/>
      <c r="AI128" s="78" t="n"/>
      <c r="AJ128" s="78" t="n"/>
      <c r="AK128" s="78" t="n"/>
      <c r="AL128" s="78" t="n"/>
      <c r="AM128" s="78" t="n"/>
      <c r="AN128" s="78" t="n"/>
      <c r="AO128" s="218" t="n"/>
    </row>
    <row r="129" ht="24" customHeight="1">
      <c r="A129" s="65" t="inlineStr">
        <is>
          <t>P021</t>
        </is>
      </c>
      <c r="B129" s="96" t="n">
        <v>5</v>
      </c>
      <c r="C129" s="96" t="inlineStr">
        <is>
          <t>O6-S1-EA</t>
        </is>
      </c>
      <c r="D129" s="96" t="n">
        <v>3</v>
      </c>
      <c r="E129" s="96" t="inlineStr">
        <is>
          <t>鼠标</t>
        </is>
      </c>
      <c r="F129" s="96" t="inlineStr">
        <is>
          <t>blue_mouse</t>
        </is>
      </c>
      <c r="G129" s="96" t="inlineStr">
        <is>
          <t>方法A</t>
        </is>
      </c>
      <c r="H129" s="96" t="inlineStr">
        <is>
          <t>EgoAnchor</t>
        </is>
      </c>
      <c r="I129" s="96" t="n">
        <v>1</v>
      </c>
      <c r="J129" s="96" t="n">
        <v>3</v>
      </c>
      <c r="K129" s="85" t="n"/>
      <c r="L129" s="85" t="n"/>
      <c r="M129" s="85" t="n"/>
      <c r="N129" s="7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328" t="n"/>
      <c r="Z129" s="328" t="n"/>
      <c r="AA129" s="85" t="n"/>
      <c r="AB129" s="85" t="n"/>
      <c r="AC129" s="85" t="n"/>
      <c r="AD129" s="85" t="n"/>
      <c r="AE129" s="85" t="n"/>
      <c r="AF129" s="78" t="n"/>
      <c r="AG129" s="78" t="n"/>
      <c r="AH129" s="78" t="n"/>
      <c r="AI129" s="78" t="n"/>
      <c r="AJ129" s="78" t="n"/>
      <c r="AK129" s="78" t="n"/>
      <c r="AL129" s="78" t="n"/>
      <c r="AM129" s="78" t="n"/>
      <c r="AN129" s="78" t="n"/>
      <c r="AO129" s="218" t="n"/>
    </row>
    <row r="130" ht="24" customHeight="1">
      <c r="A130" s="262" t="inlineStr">
        <is>
          <t>P021</t>
        </is>
      </c>
      <c r="B130" s="263" t="n">
        <v>6</v>
      </c>
      <c r="C130" s="263" t="inlineStr">
        <is>
          <t>O6-S1-EA</t>
        </is>
      </c>
      <c r="D130" s="263" t="n">
        <v>3</v>
      </c>
      <c r="E130" s="263" t="inlineStr">
        <is>
          <t>鼠标</t>
        </is>
      </c>
      <c r="F130" s="263" t="inlineStr">
        <is>
          <t>blue_mouse</t>
        </is>
      </c>
      <c r="G130" s="263" t="inlineStr">
        <is>
          <t>方法B</t>
        </is>
      </c>
      <c r="H130" s="263" t="inlineStr">
        <is>
          <t>One-Euro</t>
        </is>
      </c>
      <c r="I130" s="263" t="n">
        <v>2</v>
      </c>
      <c r="J130" s="263" t="n">
        <v>3</v>
      </c>
      <c r="K130" s="266" t="n"/>
      <c r="L130" s="266" t="n"/>
      <c r="M130" s="266" t="n"/>
      <c r="N130" s="278" t="n"/>
      <c r="O130" s="266" t="n"/>
      <c r="P130" s="266" t="n"/>
      <c r="Q130" s="266" t="n"/>
      <c r="R130" s="266" t="n"/>
      <c r="S130" s="266" t="n"/>
      <c r="T130" s="266" t="n"/>
      <c r="U130" s="266" t="n"/>
      <c r="V130" s="266" t="n"/>
      <c r="W130" s="266" t="n"/>
      <c r="X130" s="266" t="n"/>
      <c r="Y130" s="329" t="n"/>
      <c r="Z130" s="329" t="n"/>
      <c r="AA130" s="266" t="n"/>
      <c r="AB130" s="266" t="n"/>
      <c r="AC130" s="266" t="n"/>
      <c r="AD130" s="266" t="n"/>
      <c r="AE130" s="266" t="n"/>
      <c r="AF130" s="279" t="n"/>
      <c r="AG130" s="279" t="n"/>
      <c r="AH130" s="279" t="n"/>
      <c r="AI130" s="279" t="n"/>
      <c r="AJ130" s="279" t="n"/>
      <c r="AK130" s="279" t="n"/>
      <c r="AL130" s="279" t="n"/>
      <c r="AM130" s="279" t="n"/>
      <c r="AN130" s="279" t="n"/>
      <c r="AO130" s="279" t="n"/>
    </row>
    <row r="131" ht="24" customHeight="1">
      <c r="A131" s="65" t="inlineStr">
        <is>
          <t>P022</t>
        </is>
      </c>
      <c r="B131" s="96" t="n">
        <v>1</v>
      </c>
      <c r="C131" s="96" t="inlineStr">
        <is>
          <t>O6-S2-EA</t>
        </is>
      </c>
      <c r="D131" s="96" t="n">
        <v>1</v>
      </c>
      <c r="E131" s="96" t="inlineStr">
        <is>
          <t>游戏手柄</t>
        </is>
      </c>
      <c r="F131" s="96" t="inlineStr">
        <is>
          <t>gamepad</t>
        </is>
      </c>
      <c r="G131" s="96" t="inlineStr">
        <is>
          <t>方法B</t>
        </is>
      </c>
      <c r="H131" s="96" t="inlineStr">
        <is>
          <t>One-Euro</t>
        </is>
      </c>
      <c r="I131" s="96" t="n">
        <v>1</v>
      </c>
      <c r="J131" s="96" t="n">
        <v>1</v>
      </c>
      <c r="K131" s="85" t="n"/>
      <c r="L131" s="85" t="n"/>
      <c r="M131" s="85" t="n"/>
      <c r="N131" s="7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328" t="n"/>
      <c r="Z131" s="328" t="n"/>
      <c r="AA131" s="85" t="n"/>
      <c r="AB131" s="85" t="n"/>
      <c r="AC131" s="85" t="n"/>
      <c r="AD131" s="85" t="n"/>
      <c r="AE131" s="85" t="n"/>
      <c r="AF131" s="78" t="n"/>
      <c r="AG131" s="78" t="n"/>
      <c r="AH131" s="78" t="n"/>
      <c r="AI131" s="78" t="n"/>
      <c r="AJ131" s="78" t="n"/>
      <c r="AK131" s="78" t="n"/>
      <c r="AL131" s="78" t="n"/>
      <c r="AM131" s="78" t="n"/>
      <c r="AN131" s="78" t="n"/>
      <c r="AO131" s="218" t="n"/>
    </row>
    <row r="132" ht="24" customHeight="1">
      <c r="A132" s="65" t="inlineStr">
        <is>
          <t>P022</t>
        </is>
      </c>
      <c r="B132" s="96" t="n">
        <v>2</v>
      </c>
      <c r="C132" s="96" t="inlineStr">
        <is>
          <t>O6-S2-EA</t>
        </is>
      </c>
      <c r="D132" s="96" t="n">
        <v>1</v>
      </c>
      <c r="E132" s="96" t="inlineStr">
        <is>
          <t>游戏手柄</t>
        </is>
      </c>
      <c r="F132" s="96" t="inlineStr">
        <is>
          <t>gamepad</t>
        </is>
      </c>
      <c r="G132" s="96" t="inlineStr">
        <is>
          <t>方法A</t>
        </is>
      </c>
      <c r="H132" s="96" t="inlineStr">
        <is>
          <t>EgoAnchor</t>
        </is>
      </c>
      <c r="I132" s="96" t="n">
        <v>2</v>
      </c>
      <c r="J132" s="96" t="n">
        <v>1</v>
      </c>
      <c r="K132" s="85" t="n"/>
      <c r="L132" s="85" t="n"/>
      <c r="M132" s="85" t="n"/>
      <c r="N132" s="7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328" t="n"/>
      <c r="Z132" s="328" t="n"/>
      <c r="AA132" s="85" t="n"/>
      <c r="AB132" s="85" t="n"/>
      <c r="AC132" s="85" t="n"/>
      <c r="AD132" s="85" t="n"/>
      <c r="AE132" s="85" t="n"/>
      <c r="AF132" s="78" t="n"/>
      <c r="AG132" s="78" t="n"/>
      <c r="AH132" s="78" t="n"/>
      <c r="AI132" s="78" t="n"/>
      <c r="AJ132" s="78" t="n"/>
      <c r="AK132" s="78" t="n"/>
      <c r="AL132" s="78" t="n"/>
      <c r="AM132" s="78" t="n"/>
      <c r="AN132" s="78" t="n"/>
      <c r="AO132" s="218" t="n"/>
    </row>
    <row r="133" ht="24" customHeight="1">
      <c r="A133" s="65" t="inlineStr">
        <is>
          <t>P022</t>
        </is>
      </c>
      <c r="B133" s="96" t="n">
        <v>3</v>
      </c>
      <c r="C133" s="96" t="inlineStr">
        <is>
          <t>O6-S2-EA</t>
        </is>
      </c>
      <c r="D133" s="96" t="n">
        <v>2</v>
      </c>
      <c r="E133" s="96" t="inlineStr">
        <is>
          <t>固定订书机</t>
        </is>
      </c>
      <c r="F133" s="96" t="inlineStr">
        <is>
          <t>stapler</t>
        </is>
      </c>
      <c r="G133" s="96" t="inlineStr">
        <is>
          <t>方法A</t>
        </is>
      </c>
      <c r="H133" s="96" t="inlineStr">
        <is>
          <t>EgoAnchor</t>
        </is>
      </c>
      <c r="I133" s="96" t="n">
        <v>1</v>
      </c>
      <c r="J133" s="96" t="n">
        <v>2</v>
      </c>
      <c r="K133" s="85" t="n"/>
      <c r="L133" s="85" t="n"/>
      <c r="M133" s="85" t="n"/>
      <c r="N133" s="7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328" t="n"/>
      <c r="Z133" s="328" t="n"/>
      <c r="AA133" s="85" t="n"/>
      <c r="AB133" s="85" t="n"/>
      <c r="AC133" s="85" t="n"/>
      <c r="AD133" s="85" t="n"/>
      <c r="AE133" s="85" t="n"/>
      <c r="AF133" s="78" t="n"/>
      <c r="AG133" s="78" t="n"/>
      <c r="AH133" s="78" t="n"/>
      <c r="AI133" s="78" t="n"/>
      <c r="AJ133" s="78" t="n"/>
      <c r="AK133" s="78" t="n"/>
      <c r="AL133" s="78" t="n"/>
      <c r="AM133" s="78" t="n"/>
      <c r="AN133" s="78" t="n"/>
      <c r="AO133" s="218" t="n"/>
    </row>
    <row r="134" ht="24" customHeight="1">
      <c r="A134" s="65" t="inlineStr">
        <is>
          <t>P022</t>
        </is>
      </c>
      <c r="B134" s="96" t="n">
        <v>4</v>
      </c>
      <c r="C134" s="96" t="inlineStr">
        <is>
          <t>O6-S2-EA</t>
        </is>
      </c>
      <c r="D134" s="96" t="n">
        <v>2</v>
      </c>
      <c r="E134" s="96" t="inlineStr">
        <is>
          <t>固定订书机</t>
        </is>
      </c>
      <c r="F134" s="96" t="inlineStr">
        <is>
          <t>stapler</t>
        </is>
      </c>
      <c r="G134" s="96" t="inlineStr">
        <is>
          <t>方法B</t>
        </is>
      </c>
      <c r="H134" s="96" t="inlineStr">
        <is>
          <t>One-Euro</t>
        </is>
      </c>
      <c r="I134" s="96" t="n">
        <v>2</v>
      </c>
      <c r="J134" s="96" t="n">
        <v>2</v>
      </c>
      <c r="K134" s="85" t="n"/>
      <c r="L134" s="85" t="n"/>
      <c r="M134" s="85" t="n"/>
      <c r="N134" s="7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328" t="n"/>
      <c r="Z134" s="328" t="n"/>
      <c r="AA134" s="85" t="n"/>
      <c r="AB134" s="85" t="n"/>
      <c r="AC134" s="85" t="n"/>
      <c r="AD134" s="85" t="n"/>
      <c r="AE134" s="85" t="n"/>
      <c r="AF134" s="78" t="n"/>
      <c r="AG134" s="78" t="n"/>
      <c r="AH134" s="78" t="n"/>
      <c r="AI134" s="78" t="n"/>
      <c r="AJ134" s="78" t="n"/>
      <c r="AK134" s="78" t="n"/>
      <c r="AL134" s="78" t="n"/>
      <c r="AM134" s="78" t="n"/>
      <c r="AN134" s="78" t="n"/>
      <c r="AO134" s="218" t="n"/>
    </row>
    <row r="135" ht="24" customHeight="1">
      <c r="A135" s="65" t="inlineStr">
        <is>
          <t>P022</t>
        </is>
      </c>
      <c r="B135" s="96" t="n">
        <v>5</v>
      </c>
      <c r="C135" s="96" t="inlineStr">
        <is>
          <t>O6-S2-EA</t>
        </is>
      </c>
      <c r="D135" s="96" t="n">
        <v>3</v>
      </c>
      <c r="E135" s="96" t="inlineStr">
        <is>
          <t>鼠标</t>
        </is>
      </c>
      <c r="F135" s="96" t="inlineStr">
        <is>
          <t>blue_mouse</t>
        </is>
      </c>
      <c r="G135" s="96" t="inlineStr">
        <is>
          <t>方法B</t>
        </is>
      </c>
      <c r="H135" s="96" t="inlineStr">
        <is>
          <t>One-Euro</t>
        </is>
      </c>
      <c r="I135" s="96" t="n">
        <v>1</v>
      </c>
      <c r="J135" s="96" t="n">
        <v>3</v>
      </c>
      <c r="K135" s="85" t="n"/>
      <c r="L135" s="85" t="n"/>
      <c r="M135" s="85" t="n"/>
      <c r="N135" s="7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328" t="n"/>
      <c r="Z135" s="328" t="n"/>
      <c r="AA135" s="85" t="n"/>
      <c r="AB135" s="85" t="n"/>
      <c r="AC135" s="85" t="n"/>
      <c r="AD135" s="85" t="n"/>
      <c r="AE135" s="85" t="n"/>
      <c r="AF135" s="78" t="n"/>
      <c r="AG135" s="78" t="n"/>
      <c r="AH135" s="78" t="n"/>
      <c r="AI135" s="78" t="n"/>
      <c r="AJ135" s="78" t="n"/>
      <c r="AK135" s="78" t="n"/>
      <c r="AL135" s="78" t="n"/>
      <c r="AM135" s="78" t="n"/>
      <c r="AN135" s="78" t="n"/>
      <c r="AO135" s="218" t="n"/>
    </row>
    <row r="136" ht="24" customHeight="1">
      <c r="A136" s="262" t="inlineStr">
        <is>
          <t>P022</t>
        </is>
      </c>
      <c r="B136" s="263" t="n">
        <v>6</v>
      </c>
      <c r="C136" s="263" t="inlineStr">
        <is>
          <t>O6-S2-EA</t>
        </is>
      </c>
      <c r="D136" s="263" t="n">
        <v>3</v>
      </c>
      <c r="E136" s="263" t="inlineStr">
        <is>
          <t>鼠标</t>
        </is>
      </c>
      <c r="F136" s="263" t="inlineStr">
        <is>
          <t>blue_mouse</t>
        </is>
      </c>
      <c r="G136" s="263" t="inlineStr">
        <is>
          <t>方法A</t>
        </is>
      </c>
      <c r="H136" s="263" t="inlineStr">
        <is>
          <t>EgoAnchor</t>
        </is>
      </c>
      <c r="I136" s="263" t="n">
        <v>2</v>
      </c>
      <c r="J136" s="263" t="n">
        <v>3</v>
      </c>
      <c r="K136" s="266" t="n"/>
      <c r="L136" s="266" t="n"/>
      <c r="M136" s="266" t="n"/>
      <c r="N136" s="278" t="n"/>
      <c r="O136" s="266" t="n"/>
      <c r="P136" s="266" t="n"/>
      <c r="Q136" s="266" t="n"/>
      <c r="R136" s="266" t="n"/>
      <c r="S136" s="266" t="n"/>
      <c r="T136" s="266" t="n"/>
      <c r="U136" s="266" t="n"/>
      <c r="V136" s="266" t="n"/>
      <c r="W136" s="266" t="n"/>
      <c r="X136" s="266" t="n"/>
      <c r="Y136" s="329" t="n"/>
      <c r="Z136" s="329" t="n"/>
      <c r="AA136" s="266" t="n"/>
      <c r="AB136" s="266" t="n"/>
      <c r="AC136" s="266" t="n"/>
      <c r="AD136" s="266" t="n"/>
      <c r="AE136" s="266" t="n"/>
      <c r="AF136" s="279" t="n"/>
      <c r="AG136" s="279" t="n"/>
      <c r="AH136" s="279" t="n"/>
      <c r="AI136" s="279" t="n"/>
      <c r="AJ136" s="279" t="n"/>
      <c r="AK136" s="279" t="n"/>
      <c r="AL136" s="279" t="n"/>
      <c r="AM136" s="279" t="n"/>
      <c r="AN136" s="279" t="n"/>
      <c r="AO136" s="279" t="n"/>
    </row>
    <row r="137" ht="24" customHeight="1">
      <c r="A137" s="65" t="inlineStr">
        <is>
          <t>P023</t>
        </is>
      </c>
      <c r="B137" s="96" t="n">
        <v>1</v>
      </c>
      <c r="C137" s="96" t="inlineStr">
        <is>
          <t>O6-S2-OE</t>
        </is>
      </c>
      <c r="D137" s="96" t="n">
        <v>1</v>
      </c>
      <c r="E137" s="96" t="inlineStr">
        <is>
          <t>游戏手柄</t>
        </is>
      </c>
      <c r="F137" s="96" t="inlineStr">
        <is>
          <t>gamepad</t>
        </is>
      </c>
      <c r="G137" s="96" t="inlineStr">
        <is>
          <t>方法B</t>
        </is>
      </c>
      <c r="H137" s="96" t="inlineStr">
        <is>
          <t>EgoAnchor</t>
        </is>
      </c>
      <c r="I137" s="96" t="n">
        <v>1</v>
      </c>
      <c r="J137" s="96" t="n">
        <v>1</v>
      </c>
      <c r="K137" s="85" t="n"/>
      <c r="L137" s="85" t="n"/>
      <c r="M137" s="85" t="n"/>
      <c r="N137" s="7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328" t="n"/>
      <c r="Z137" s="328" t="n"/>
      <c r="AA137" s="85" t="n"/>
      <c r="AB137" s="85" t="n"/>
      <c r="AC137" s="85" t="n"/>
      <c r="AD137" s="85" t="n"/>
      <c r="AE137" s="85" t="n"/>
      <c r="AF137" s="78" t="n"/>
      <c r="AG137" s="78" t="n"/>
      <c r="AH137" s="78" t="n"/>
      <c r="AI137" s="78" t="n"/>
      <c r="AJ137" s="78" t="n"/>
      <c r="AK137" s="78" t="n"/>
      <c r="AL137" s="78" t="n"/>
      <c r="AM137" s="78" t="n"/>
      <c r="AN137" s="78" t="n"/>
      <c r="AO137" s="218" t="n"/>
    </row>
    <row r="138" ht="24" customHeight="1">
      <c r="A138" s="65" t="inlineStr">
        <is>
          <t>P023</t>
        </is>
      </c>
      <c r="B138" s="96" t="n">
        <v>2</v>
      </c>
      <c r="C138" s="96" t="inlineStr">
        <is>
          <t>O6-S2-OE</t>
        </is>
      </c>
      <c r="D138" s="96" t="n">
        <v>1</v>
      </c>
      <c r="E138" s="96" t="inlineStr">
        <is>
          <t>游戏手柄</t>
        </is>
      </c>
      <c r="F138" s="96" t="inlineStr">
        <is>
          <t>gamepad</t>
        </is>
      </c>
      <c r="G138" s="96" t="inlineStr">
        <is>
          <t>方法A</t>
        </is>
      </c>
      <c r="H138" s="96" t="inlineStr">
        <is>
          <t>One-Euro</t>
        </is>
      </c>
      <c r="I138" s="96" t="n">
        <v>2</v>
      </c>
      <c r="J138" s="96" t="n">
        <v>1</v>
      </c>
      <c r="K138" s="85" t="n"/>
      <c r="L138" s="85" t="n"/>
      <c r="M138" s="85" t="n"/>
      <c r="N138" s="7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328" t="n"/>
      <c r="Z138" s="328" t="n"/>
      <c r="AA138" s="85" t="n"/>
      <c r="AB138" s="85" t="n"/>
      <c r="AC138" s="85" t="n"/>
      <c r="AD138" s="85" t="n"/>
      <c r="AE138" s="85" t="n"/>
      <c r="AF138" s="78" t="n"/>
      <c r="AG138" s="78" t="n"/>
      <c r="AH138" s="78" t="n"/>
      <c r="AI138" s="78" t="n"/>
      <c r="AJ138" s="78" t="n"/>
      <c r="AK138" s="78" t="n"/>
      <c r="AL138" s="78" t="n"/>
      <c r="AM138" s="78" t="n"/>
      <c r="AN138" s="78" t="n"/>
      <c r="AO138" s="218" t="n"/>
    </row>
    <row r="139" ht="24" customHeight="1">
      <c r="A139" s="65" t="inlineStr">
        <is>
          <t>P023</t>
        </is>
      </c>
      <c r="B139" s="96" t="n">
        <v>3</v>
      </c>
      <c r="C139" s="96" t="inlineStr">
        <is>
          <t>O6-S2-OE</t>
        </is>
      </c>
      <c r="D139" s="96" t="n">
        <v>2</v>
      </c>
      <c r="E139" s="96" t="inlineStr">
        <is>
          <t>固定订书机</t>
        </is>
      </c>
      <c r="F139" s="96" t="inlineStr">
        <is>
          <t>stapler</t>
        </is>
      </c>
      <c r="G139" s="96" t="inlineStr">
        <is>
          <t>方法A</t>
        </is>
      </c>
      <c r="H139" s="96" t="inlineStr">
        <is>
          <t>One-Euro</t>
        </is>
      </c>
      <c r="I139" s="96" t="n">
        <v>1</v>
      </c>
      <c r="J139" s="96" t="n">
        <v>2</v>
      </c>
      <c r="K139" s="85" t="n"/>
      <c r="L139" s="85" t="n"/>
      <c r="M139" s="85" t="n"/>
      <c r="N139" s="7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328" t="n"/>
      <c r="Z139" s="328" t="n"/>
      <c r="AA139" s="85" t="n"/>
      <c r="AB139" s="85" t="n"/>
      <c r="AC139" s="85" t="n"/>
      <c r="AD139" s="85" t="n"/>
      <c r="AE139" s="85" t="n"/>
      <c r="AF139" s="78" t="n"/>
      <c r="AG139" s="78" t="n"/>
      <c r="AH139" s="78" t="n"/>
      <c r="AI139" s="78" t="n"/>
      <c r="AJ139" s="78" t="n"/>
      <c r="AK139" s="78" t="n"/>
      <c r="AL139" s="78" t="n"/>
      <c r="AM139" s="78" t="n"/>
      <c r="AN139" s="78" t="n"/>
      <c r="AO139" s="218" t="n"/>
    </row>
    <row r="140" ht="24" customHeight="1">
      <c r="A140" s="65" t="inlineStr">
        <is>
          <t>P023</t>
        </is>
      </c>
      <c r="B140" s="96" t="n">
        <v>4</v>
      </c>
      <c r="C140" s="96" t="inlineStr">
        <is>
          <t>O6-S2-OE</t>
        </is>
      </c>
      <c r="D140" s="96" t="n">
        <v>2</v>
      </c>
      <c r="E140" s="96" t="inlineStr">
        <is>
          <t>固定订书机</t>
        </is>
      </c>
      <c r="F140" s="96" t="inlineStr">
        <is>
          <t>stapler</t>
        </is>
      </c>
      <c r="G140" s="96" t="inlineStr">
        <is>
          <t>方法B</t>
        </is>
      </c>
      <c r="H140" s="96" t="inlineStr">
        <is>
          <t>EgoAnchor</t>
        </is>
      </c>
      <c r="I140" s="96" t="n">
        <v>2</v>
      </c>
      <c r="J140" s="96" t="n">
        <v>2</v>
      </c>
      <c r="K140" s="85" t="n"/>
      <c r="L140" s="85" t="n"/>
      <c r="M140" s="85" t="n"/>
      <c r="N140" s="7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328" t="n"/>
      <c r="Z140" s="328" t="n"/>
      <c r="AA140" s="85" t="n"/>
      <c r="AB140" s="85" t="n"/>
      <c r="AC140" s="85" t="n"/>
      <c r="AD140" s="85" t="n"/>
      <c r="AE140" s="85" t="n"/>
      <c r="AF140" s="78" t="n"/>
      <c r="AG140" s="78" t="n"/>
      <c r="AH140" s="78" t="n"/>
      <c r="AI140" s="78" t="n"/>
      <c r="AJ140" s="78" t="n"/>
      <c r="AK140" s="78" t="n"/>
      <c r="AL140" s="78" t="n"/>
      <c r="AM140" s="78" t="n"/>
      <c r="AN140" s="78" t="n"/>
      <c r="AO140" s="218" t="n"/>
    </row>
    <row r="141" ht="24" customHeight="1">
      <c r="A141" s="65" t="inlineStr">
        <is>
          <t>P023</t>
        </is>
      </c>
      <c r="B141" s="96" t="n">
        <v>5</v>
      </c>
      <c r="C141" s="96" t="inlineStr">
        <is>
          <t>O6-S2-OE</t>
        </is>
      </c>
      <c r="D141" s="96" t="n">
        <v>3</v>
      </c>
      <c r="E141" s="96" t="inlineStr">
        <is>
          <t>鼠标</t>
        </is>
      </c>
      <c r="F141" s="96" t="inlineStr">
        <is>
          <t>blue_mouse</t>
        </is>
      </c>
      <c r="G141" s="96" t="inlineStr">
        <is>
          <t>方法B</t>
        </is>
      </c>
      <c r="H141" s="96" t="inlineStr">
        <is>
          <t>EgoAnchor</t>
        </is>
      </c>
      <c r="I141" s="96" t="n">
        <v>1</v>
      </c>
      <c r="J141" s="96" t="n">
        <v>3</v>
      </c>
      <c r="K141" s="85" t="n"/>
      <c r="L141" s="85" t="n"/>
      <c r="M141" s="85" t="n"/>
      <c r="N141" s="7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328" t="n"/>
      <c r="Z141" s="328" t="n"/>
      <c r="AA141" s="85" t="n"/>
      <c r="AB141" s="85" t="n"/>
      <c r="AC141" s="85" t="n"/>
      <c r="AD141" s="85" t="n"/>
      <c r="AE141" s="85" t="n"/>
      <c r="AF141" s="78" t="n"/>
      <c r="AG141" s="78" t="n"/>
      <c r="AH141" s="78" t="n"/>
      <c r="AI141" s="78" t="n"/>
      <c r="AJ141" s="78" t="n"/>
      <c r="AK141" s="78" t="n"/>
      <c r="AL141" s="78" t="n"/>
      <c r="AM141" s="78" t="n"/>
      <c r="AN141" s="78" t="n"/>
      <c r="AO141" s="218" t="n"/>
    </row>
    <row r="142" ht="24" customHeight="1">
      <c r="A142" s="262" t="inlineStr">
        <is>
          <t>P023</t>
        </is>
      </c>
      <c r="B142" s="263" t="n">
        <v>6</v>
      </c>
      <c r="C142" s="263" t="inlineStr">
        <is>
          <t>O6-S2-OE</t>
        </is>
      </c>
      <c r="D142" s="263" t="n">
        <v>3</v>
      </c>
      <c r="E142" s="263" t="inlineStr">
        <is>
          <t>鼠标</t>
        </is>
      </c>
      <c r="F142" s="263" t="inlineStr">
        <is>
          <t>blue_mouse</t>
        </is>
      </c>
      <c r="G142" s="263" t="inlineStr">
        <is>
          <t>方法A</t>
        </is>
      </c>
      <c r="H142" s="263" t="inlineStr">
        <is>
          <t>One-Euro</t>
        </is>
      </c>
      <c r="I142" s="263" t="n">
        <v>2</v>
      </c>
      <c r="J142" s="263" t="n">
        <v>3</v>
      </c>
      <c r="K142" s="266" t="n"/>
      <c r="L142" s="266" t="n"/>
      <c r="M142" s="266" t="n"/>
      <c r="N142" s="278" t="n"/>
      <c r="O142" s="266" t="n"/>
      <c r="P142" s="266" t="n"/>
      <c r="Q142" s="266" t="n"/>
      <c r="R142" s="266" t="n"/>
      <c r="S142" s="266" t="n"/>
      <c r="T142" s="266" t="n"/>
      <c r="U142" s="266" t="n"/>
      <c r="V142" s="266" t="n"/>
      <c r="W142" s="266" t="n"/>
      <c r="X142" s="266" t="n"/>
      <c r="Y142" s="329" t="n"/>
      <c r="Z142" s="329" t="n"/>
      <c r="AA142" s="266" t="n"/>
      <c r="AB142" s="266" t="n"/>
      <c r="AC142" s="266" t="n"/>
      <c r="AD142" s="266" t="n"/>
      <c r="AE142" s="266" t="n"/>
      <c r="AF142" s="279" t="n"/>
      <c r="AG142" s="279" t="n"/>
      <c r="AH142" s="279" t="n"/>
      <c r="AI142" s="279" t="n"/>
      <c r="AJ142" s="279" t="n"/>
      <c r="AK142" s="279" t="n"/>
      <c r="AL142" s="279" t="n"/>
      <c r="AM142" s="279" t="n"/>
      <c r="AN142" s="279" t="n"/>
      <c r="AO142" s="279" t="n"/>
    </row>
    <row r="143" ht="24" customHeight="1">
      <c r="A143" s="65" t="inlineStr">
        <is>
          <t>P024</t>
        </is>
      </c>
      <c r="B143" s="96" t="n">
        <v>1</v>
      </c>
      <c r="C143" s="96" t="inlineStr">
        <is>
          <t>O6-S1-OE</t>
        </is>
      </c>
      <c r="D143" s="96" t="n">
        <v>1</v>
      </c>
      <c r="E143" s="96" t="inlineStr">
        <is>
          <t>游戏手柄</t>
        </is>
      </c>
      <c r="F143" s="96" t="inlineStr">
        <is>
          <t>gamepad</t>
        </is>
      </c>
      <c r="G143" s="96" t="inlineStr">
        <is>
          <t>方法A</t>
        </is>
      </c>
      <c r="H143" s="96" t="inlineStr">
        <is>
          <t>One-Euro</t>
        </is>
      </c>
      <c r="I143" s="96" t="n">
        <v>1</v>
      </c>
      <c r="J143" s="96" t="n">
        <v>1</v>
      </c>
      <c r="K143" s="85" t="n"/>
      <c r="L143" s="85" t="n"/>
      <c r="M143" s="85" t="n"/>
      <c r="N143" s="7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328" t="n"/>
      <c r="Z143" s="328" t="n"/>
      <c r="AA143" s="85" t="n"/>
      <c r="AB143" s="85" t="n"/>
      <c r="AC143" s="85" t="n"/>
      <c r="AD143" s="85" t="n"/>
      <c r="AE143" s="85" t="n"/>
      <c r="AF143" s="78" t="n"/>
      <c r="AG143" s="78" t="n"/>
      <c r="AH143" s="78" t="n"/>
      <c r="AI143" s="78" t="n"/>
      <c r="AJ143" s="78" t="n"/>
      <c r="AK143" s="78" t="n"/>
      <c r="AL143" s="78" t="n"/>
      <c r="AM143" s="78" t="n"/>
      <c r="AN143" s="78" t="n"/>
      <c r="AO143" s="218" t="n"/>
    </row>
    <row r="144" ht="24" customHeight="1">
      <c r="A144" s="65" t="inlineStr">
        <is>
          <t>P024</t>
        </is>
      </c>
      <c r="B144" s="96" t="n">
        <v>2</v>
      </c>
      <c r="C144" s="96" t="inlineStr">
        <is>
          <t>O6-S1-OE</t>
        </is>
      </c>
      <c r="D144" s="96" t="n">
        <v>1</v>
      </c>
      <c r="E144" s="96" t="inlineStr">
        <is>
          <t>游戏手柄</t>
        </is>
      </c>
      <c r="F144" s="96" t="inlineStr">
        <is>
          <t>gamepad</t>
        </is>
      </c>
      <c r="G144" s="96" t="inlineStr">
        <is>
          <t>方法B</t>
        </is>
      </c>
      <c r="H144" s="96" t="inlineStr">
        <is>
          <t>EgoAnchor</t>
        </is>
      </c>
      <c r="I144" s="96" t="n">
        <v>2</v>
      </c>
      <c r="J144" s="96" t="n">
        <v>1</v>
      </c>
      <c r="K144" s="85" t="n"/>
      <c r="L144" s="85" t="n"/>
      <c r="M144" s="85" t="n"/>
      <c r="N144" s="7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328" t="n"/>
      <c r="Z144" s="328" t="n"/>
      <c r="AA144" s="85" t="n"/>
      <c r="AB144" s="85" t="n"/>
      <c r="AC144" s="85" t="n"/>
      <c r="AD144" s="85" t="n"/>
      <c r="AE144" s="85" t="n"/>
      <c r="AF144" s="78" t="n"/>
      <c r="AG144" s="78" t="n"/>
      <c r="AH144" s="78" t="n"/>
      <c r="AI144" s="78" t="n"/>
      <c r="AJ144" s="78" t="n"/>
      <c r="AK144" s="78" t="n"/>
      <c r="AL144" s="78" t="n"/>
      <c r="AM144" s="78" t="n"/>
      <c r="AN144" s="78" t="n"/>
      <c r="AO144" s="218" t="n"/>
    </row>
    <row r="145" ht="24" customHeight="1">
      <c r="A145" s="65" t="inlineStr">
        <is>
          <t>P024</t>
        </is>
      </c>
      <c r="B145" s="96" t="n">
        <v>3</v>
      </c>
      <c r="C145" s="96" t="inlineStr">
        <is>
          <t>O6-S1-OE</t>
        </is>
      </c>
      <c r="D145" s="96" t="n">
        <v>2</v>
      </c>
      <c r="E145" s="96" t="inlineStr">
        <is>
          <t>固定订书机</t>
        </is>
      </c>
      <c r="F145" s="96" t="inlineStr">
        <is>
          <t>stapler</t>
        </is>
      </c>
      <c r="G145" s="96" t="inlineStr">
        <is>
          <t>方法B</t>
        </is>
      </c>
      <c r="H145" s="96" t="inlineStr">
        <is>
          <t>EgoAnchor</t>
        </is>
      </c>
      <c r="I145" s="96" t="n">
        <v>1</v>
      </c>
      <c r="J145" s="96" t="n">
        <v>2</v>
      </c>
      <c r="K145" s="85" t="n"/>
      <c r="L145" s="85" t="n"/>
      <c r="M145" s="85" t="n"/>
      <c r="N145" s="7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328" t="n"/>
      <c r="Z145" s="328" t="n"/>
      <c r="AA145" s="85" t="n"/>
      <c r="AB145" s="85" t="n"/>
      <c r="AC145" s="85" t="n"/>
      <c r="AD145" s="85" t="n"/>
      <c r="AE145" s="85" t="n"/>
      <c r="AF145" s="78" t="n"/>
      <c r="AG145" s="78" t="n"/>
      <c r="AH145" s="78" t="n"/>
      <c r="AI145" s="78" t="n"/>
      <c r="AJ145" s="78" t="n"/>
      <c r="AK145" s="78" t="n"/>
      <c r="AL145" s="78" t="n"/>
      <c r="AM145" s="78" t="n"/>
      <c r="AN145" s="78" t="n"/>
      <c r="AO145" s="218" t="n"/>
    </row>
    <row r="146" ht="24" customHeight="1">
      <c r="A146" s="65" t="inlineStr">
        <is>
          <t>P024</t>
        </is>
      </c>
      <c r="B146" s="96" t="n">
        <v>4</v>
      </c>
      <c r="C146" s="96" t="inlineStr">
        <is>
          <t>O6-S1-OE</t>
        </is>
      </c>
      <c r="D146" s="96" t="n">
        <v>2</v>
      </c>
      <c r="E146" s="96" t="inlineStr">
        <is>
          <t>固定订书机</t>
        </is>
      </c>
      <c r="F146" s="96" t="inlineStr">
        <is>
          <t>stapler</t>
        </is>
      </c>
      <c r="G146" s="96" t="inlineStr">
        <is>
          <t>方法A</t>
        </is>
      </c>
      <c r="H146" s="96" t="inlineStr">
        <is>
          <t>One-Euro</t>
        </is>
      </c>
      <c r="I146" s="96" t="n">
        <v>2</v>
      </c>
      <c r="J146" s="96" t="n">
        <v>2</v>
      </c>
      <c r="K146" s="85" t="n"/>
      <c r="L146" s="85" t="n"/>
      <c r="M146" s="85" t="n"/>
      <c r="N146" s="7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328" t="n"/>
      <c r="Z146" s="328" t="n"/>
      <c r="AA146" s="85" t="n"/>
      <c r="AB146" s="85" t="n"/>
      <c r="AC146" s="85" t="n"/>
      <c r="AD146" s="85" t="n"/>
      <c r="AE146" s="85" t="n"/>
      <c r="AF146" s="78" t="n"/>
      <c r="AG146" s="78" t="n"/>
      <c r="AH146" s="78" t="n"/>
      <c r="AI146" s="78" t="n"/>
      <c r="AJ146" s="78" t="n"/>
      <c r="AK146" s="78" t="n"/>
      <c r="AL146" s="78" t="n"/>
      <c r="AM146" s="78" t="n"/>
      <c r="AN146" s="78" t="n"/>
      <c r="AO146" s="218" t="n"/>
    </row>
    <row r="147" ht="24" customHeight="1">
      <c r="A147" s="65" t="inlineStr">
        <is>
          <t>P024</t>
        </is>
      </c>
      <c r="B147" s="96" t="n">
        <v>5</v>
      </c>
      <c r="C147" s="96" t="inlineStr">
        <is>
          <t>O6-S1-OE</t>
        </is>
      </c>
      <c r="D147" s="96" t="n">
        <v>3</v>
      </c>
      <c r="E147" s="96" t="inlineStr">
        <is>
          <t>鼠标</t>
        </is>
      </c>
      <c r="F147" s="96" t="inlineStr">
        <is>
          <t>blue_mouse</t>
        </is>
      </c>
      <c r="G147" s="96" t="inlineStr">
        <is>
          <t>方法A</t>
        </is>
      </c>
      <c r="H147" s="96" t="inlineStr">
        <is>
          <t>One-Euro</t>
        </is>
      </c>
      <c r="I147" s="96" t="n">
        <v>1</v>
      </c>
      <c r="J147" s="96" t="n">
        <v>3</v>
      </c>
      <c r="K147" s="85" t="n"/>
      <c r="L147" s="85" t="n"/>
      <c r="M147" s="85" t="n"/>
      <c r="N147" s="7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328" t="n"/>
      <c r="Z147" s="328" t="n"/>
      <c r="AA147" s="85" t="n"/>
      <c r="AB147" s="85" t="n"/>
      <c r="AC147" s="85" t="n"/>
      <c r="AD147" s="85" t="n"/>
      <c r="AE147" s="85" t="n"/>
      <c r="AF147" s="78" t="n"/>
      <c r="AG147" s="78" t="n"/>
      <c r="AH147" s="78" t="n"/>
      <c r="AI147" s="78" t="n"/>
      <c r="AJ147" s="78" t="n"/>
      <c r="AK147" s="78" t="n"/>
      <c r="AL147" s="78" t="n"/>
      <c r="AM147" s="78" t="n"/>
      <c r="AN147" s="78" t="n"/>
      <c r="AO147" s="218" t="n"/>
    </row>
    <row r="148" ht="24" customHeight="1">
      <c r="A148" s="262" t="inlineStr">
        <is>
          <t>P024</t>
        </is>
      </c>
      <c r="B148" s="263" t="n">
        <v>6</v>
      </c>
      <c r="C148" s="263" t="inlineStr">
        <is>
          <t>O6-S1-OE</t>
        </is>
      </c>
      <c r="D148" s="263" t="n">
        <v>3</v>
      </c>
      <c r="E148" s="263" t="inlineStr">
        <is>
          <t>鼠标</t>
        </is>
      </c>
      <c r="F148" s="263" t="inlineStr">
        <is>
          <t>blue_mouse</t>
        </is>
      </c>
      <c r="G148" s="263" t="inlineStr">
        <is>
          <t>方法B</t>
        </is>
      </c>
      <c r="H148" s="263" t="inlineStr">
        <is>
          <t>EgoAnchor</t>
        </is>
      </c>
      <c r="I148" s="263" t="n">
        <v>2</v>
      </c>
      <c r="J148" s="263" t="n">
        <v>3</v>
      </c>
      <c r="K148" s="266" t="n"/>
      <c r="L148" s="266" t="n"/>
      <c r="M148" s="266" t="n"/>
      <c r="N148" s="278" t="n"/>
      <c r="O148" s="266" t="n"/>
      <c r="P148" s="266" t="n"/>
      <c r="Q148" s="266" t="n"/>
      <c r="R148" s="266" t="n"/>
      <c r="S148" s="266" t="n"/>
      <c r="T148" s="266" t="n"/>
      <c r="U148" s="266" t="n"/>
      <c r="V148" s="266" t="n"/>
      <c r="W148" s="266" t="n"/>
      <c r="X148" s="266" t="n"/>
      <c r="Y148" s="329" t="n"/>
      <c r="Z148" s="329" t="n"/>
      <c r="AA148" s="266" t="n"/>
      <c r="AB148" s="266" t="n"/>
      <c r="AC148" s="266" t="n"/>
      <c r="AD148" s="266" t="n"/>
      <c r="AE148" s="266" t="n"/>
      <c r="AF148" s="279" t="n"/>
      <c r="AG148" s="279" t="n"/>
      <c r="AH148" s="279" t="n"/>
      <c r="AI148" s="279" t="n"/>
      <c r="AJ148" s="279" t="n"/>
      <c r="AK148" s="279" t="n"/>
      <c r="AL148" s="279" t="n"/>
      <c r="AM148" s="279" t="n"/>
      <c r="AN148" s="279" t="n"/>
      <c r="AO148" s="279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</row>
    <row r="150" ht="38" customHeight="1">
      <c r="A150" s="73" t="inlineStr">
        <is>
          <t>B. 方法级记录（全部六区块完成后；S1 先评方法 A、S2 先评方法 B；TiA→提示页→S-TIAS）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</row>
    <row r="151" ht="38" customHeight="1">
      <c r="A151" s="38" t="inlineStr">
        <is>
          <t>Participant_ID</t>
        </is>
      </c>
      <c r="B151" s="39" t="inlineStr">
        <is>
          <t>Rating_Order</t>
        </is>
      </c>
      <c r="C151" s="39" t="inlineStr">
        <is>
          <t>Shown_Label</t>
        </is>
      </c>
      <c r="D151" s="39" t="inlineStr">
        <is>
          <t>Condition(保密)</t>
        </is>
      </c>
      <c r="E151" s="39" t="inlineStr">
        <is>
          <t>TIA_RC1</t>
        </is>
      </c>
      <c r="F151" s="39" t="inlineStr">
        <is>
          <t>TIA_RC2</t>
        </is>
      </c>
      <c r="G151" s="39" t="inlineStr">
        <is>
          <t>TIA_RC3_REV</t>
        </is>
      </c>
      <c r="H151" s="39" t="inlineStr">
        <is>
          <t>TIA_RC4</t>
        </is>
      </c>
      <c r="I151" s="39" t="inlineStr">
        <is>
          <t>TIA_RC5_REV</t>
        </is>
      </c>
      <c r="J151" s="39" t="inlineStr">
        <is>
          <t>TIA_RC6</t>
        </is>
      </c>
      <c r="K151" s="39" t="inlineStr">
        <is>
          <t>TIA_UP1</t>
        </is>
      </c>
      <c r="L151" s="39" t="inlineStr">
        <is>
          <t>TIA_UP2_REV</t>
        </is>
      </c>
      <c r="M151" s="39" t="inlineStr">
        <is>
          <t>TIA_UP3</t>
        </is>
      </c>
      <c r="N151" s="39" t="inlineStr">
        <is>
          <t>TIA_UP4_REV</t>
        </is>
      </c>
      <c r="O151" s="39" t="inlineStr">
        <is>
          <t>STIAS1</t>
        </is>
      </c>
      <c r="P151" s="39" t="inlineStr">
        <is>
          <t>STIAS2</t>
        </is>
      </c>
      <c r="Q151" s="39" t="inlineStr">
        <is>
          <t>STIAS3</t>
        </is>
      </c>
      <c r="R151" s="39" t="inlineStr">
        <is>
          <t>尺度切换确认</t>
        </is>
      </c>
      <c r="S151" s="39" t="inlineStr">
        <is>
          <t>问卷开始</t>
        </is>
      </c>
      <c r="T151" s="39" t="inlineStr">
        <is>
          <t>问卷结束</t>
        </is>
      </c>
      <c r="U151" s="39" t="inlineStr">
        <is>
          <t>时长_s</t>
        </is>
      </c>
      <c r="V151" s="39" t="inlineStr">
        <is>
          <t>技术问题</t>
        </is>
      </c>
      <c r="W151" s="40" t="inlineStr">
        <is>
          <t>备注</t>
        </is>
      </c>
      <c r="X151" s="40" t="inlineStr">
        <is>
          <t>A/B归属回忆确认</t>
        </is>
      </c>
      <c r="Y151" s="40" t="inlineStr">
        <is>
          <t>方法级记录有效</t>
        </is>
      </c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</row>
    <row r="152" ht="24" customHeight="1">
      <c r="A152" s="64" t="inlineStr">
        <is>
          <t>P001</t>
        </is>
      </c>
      <c r="B152" s="90" t="n">
        <v>1</v>
      </c>
      <c r="C152" s="90" t="inlineStr">
        <is>
          <t>方法A</t>
        </is>
      </c>
      <c r="D152" s="90" t="inlineStr">
        <is>
          <t>EgoAnchor</t>
        </is>
      </c>
      <c r="E152" s="84" t="n"/>
      <c r="F152" s="84" t="n"/>
      <c r="G152" s="248" t="n"/>
      <c r="H152" s="84" t="n"/>
      <c r="I152" s="248" t="n"/>
      <c r="J152" s="84" t="n"/>
      <c r="K152" s="84" t="n"/>
      <c r="L152" s="248" t="n"/>
      <c r="M152" s="84" t="n"/>
      <c r="N152" s="248" t="n"/>
      <c r="O152" s="84" t="n"/>
      <c r="P152" s="84" t="n"/>
      <c r="Q152" s="84" t="n"/>
      <c r="R152" s="84" t="n"/>
      <c r="S152" s="327" t="n"/>
      <c r="T152" s="327" t="n"/>
      <c r="U152" s="84" t="n"/>
      <c r="V152" s="84" t="n"/>
      <c r="W152" s="210" t="n"/>
      <c r="X152" s="210" t="n"/>
      <c r="Y152" s="210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</row>
    <row r="153" ht="24" customHeight="1">
      <c r="A153" s="282" t="inlineStr">
        <is>
          <t>P001</t>
        </is>
      </c>
      <c r="B153" s="283" t="n">
        <v>2</v>
      </c>
      <c r="C153" s="283" t="inlineStr">
        <is>
          <t>方法B</t>
        </is>
      </c>
      <c r="D153" s="283" t="inlineStr">
        <is>
          <t>One-Euro</t>
        </is>
      </c>
      <c r="E153" s="284" t="n"/>
      <c r="F153" s="284" t="n"/>
      <c r="G153" s="285" t="n"/>
      <c r="H153" s="284" t="n"/>
      <c r="I153" s="285" t="n"/>
      <c r="J153" s="284" t="n"/>
      <c r="K153" s="284" t="n"/>
      <c r="L153" s="285" t="n"/>
      <c r="M153" s="284" t="n"/>
      <c r="N153" s="285" t="n"/>
      <c r="O153" s="284" t="n"/>
      <c r="P153" s="284" t="n"/>
      <c r="Q153" s="284" t="n"/>
      <c r="R153" s="284" t="n"/>
      <c r="S153" s="330" t="n"/>
      <c r="T153" s="330" t="n"/>
      <c r="U153" s="284" t="n"/>
      <c r="V153" s="284" t="n"/>
      <c r="W153" s="284" t="n"/>
      <c r="X153" s="210" t="n"/>
      <c r="Y153" s="210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</row>
    <row r="154" ht="24" customHeight="1">
      <c r="A154" s="65" t="inlineStr">
        <is>
          <t>P002</t>
        </is>
      </c>
      <c r="B154" s="96" t="n">
        <v>1</v>
      </c>
      <c r="C154" s="96" t="inlineStr">
        <is>
          <t>方法B</t>
        </is>
      </c>
      <c r="D154" s="96" t="inlineStr">
        <is>
          <t>One-Euro</t>
        </is>
      </c>
      <c r="E154" s="85" t="n"/>
      <c r="F154" s="85" t="n"/>
      <c r="G154" s="75" t="n"/>
      <c r="H154" s="85" t="n"/>
      <c r="I154" s="75" t="n"/>
      <c r="J154" s="85" t="n"/>
      <c r="K154" s="85" t="n"/>
      <c r="L154" s="75" t="n"/>
      <c r="M154" s="85" t="n"/>
      <c r="N154" s="75" t="n"/>
      <c r="O154" s="85" t="n"/>
      <c r="P154" s="85" t="n"/>
      <c r="Q154" s="85" t="n"/>
      <c r="R154" s="85" t="n"/>
      <c r="S154" s="328" t="n"/>
      <c r="T154" s="328" t="n"/>
      <c r="U154" s="85" t="n"/>
      <c r="V154" s="85" t="n"/>
      <c r="W154" s="211" t="n"/>
      <c r="X154" s="210" t="n"/>
      <c r="Y154" s="210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</row>
    <row r="155" ht="24" customHeight="1">
      <c r="A155" s="282" t="inlineStr">
        <is>
          <t>P002</t>
        </is>
      </c>
      <c r="B155" s="283" t="n">
        <v>2</v>
      </c>
      <c r="C155" s="283" t="inlineStr">
        <is>
          <t>方法A</t>
        </is>
      </c>
      <c r="D155" s="283" t="inlineStr">
        <is>
          <t>EgoAnchor</t>
        </is>
      </c>
      <c r="E155" s="284" t="n"/>
      <c r="F155" s="284" t="n"/>
      <c r="G155" s="285" t="n"/>
      <c r="H155" s="284" t="n"/>
      <c r="I155" s="285" t="n"/>
      <c r="J155" s="284" t="n"/>
      <c r="K155" s="284" t="n"/>
      <c r="L155" s="285" t="n"/>
      <c r="M155" s="284" t="n"/>
      <c r="N155" s="285" t="n"/>
      <c r="O155" s="284" t="n"/>
      <c r="P155" s="284" t="n"/>
      <c r="Q155" s="284" t="n"/>
      <c r="R155" s="284" t="n"/>
      <c r="S155" s="330" t="n"/>
      <c r="T155" s="330" t="n"/>
      <c r="U155" s="284" t="n"/>
      <c r="V155" s="284" t="n"/>
      <c r="W155" s="284" t="n"/>
      <c r="X155" s="210" t="n"/>
      <c r="Y155" s="210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</row>
    <row r="156" ht="24" customHeight="1">
      <c r="A156" s="65" t="inlineStr">
        <is>
          <t>P003</t>
        </is>
      </c>
      <c r="B156" s="96" t="n">
        <v>1</v>
      </c>
      <c r="C156" s="96" t="inlineStr">
        <is>
          <t>方法B</t>
        </is>
      </c>
      <c r="D156" s="96" t="inlineStr">
        <is>
          <t>EgoAnchor</t>
        </is>
      </c>
      <c r="E156" s="85" t="n"/>
      <c r="F156" s="85" t="n"/>
      <c r="G156" s="75" t="n"/>
      <c r="H156" s="85" t="n"/>
      <c r="I156" s="75" t="n"/>
      <c r="J156" s="85" t="n"/>
      <c r="K156" s="85" t="n"/>
      <c r="L156" s="75" t="n"/>
      <c r="M156" s="85" t="n"/>
      <c r="N156" s="75" t="n"/>
      <c r="O156" s="85" t="n"/>
      <c r="P156" s="85" t="n"/>
      <c r="Q156" s="85" t="n"/>
      <c r="R156" s="85" t="n"/>
      <c r="S156" s="328" t="n"/>
      <c r="T156" s="328" t="n"/>
      <c r="U156" s="85" t="n"/>
      <c r="V156" s="85" t="n"/>
      <c r="W156" s="211" t="n"/>
      <c r="X156" s="210" t="n"/>
      <c r="Y156" s="210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</row>
    <row r="157" ht="24" customHeight="1">
      <c r="A157" s="282" t="inlineStr">
        <is>
          <t>P003</t>
        </is>
      </c>
      <c r="B157" s="283" t="n">
        <v>2</v>
      </c>
      <c r="C157" s="283" t="inlineStr">
        <is>
          <t>方法A</t>
        </is>
      </c>
      <c r="D157" s="283" t="inlineStr">
        <is>
          <t>One-Euro</t>
        </is>
      </c>
      <c r="E157" s="284" t="n"/>
      <c r="F157" s="284" t="n"/>
      <c r="G157" s="285" t="n"/>
      <c r="H157" s="284" t="n"/>
      <c r="I157" s="285" t="n"/>
      <c r="J157" s="284" t="n"/>
      <c r="K157" s="284" t="n"/>
      <c r="L157" s="285" t="n"/>
      <c r="M157" s="284" t="n"/>
      <c r="N157" s="285" t="n"/>
      <c r="O157" s="284" t="n"/>
      <c r="P157" s="284" t="n"/>
      <c r="Q157" s="284" t="n"/>
      <c r="R157" s="284" t="n"/>
      <c r="S157" s="330" t="n"/>
      <c r="T157" s="330" t="n"/>
      <c r="U157" s="284" t="n"/>
      <c r="V157" s="284" t="n"/>
      <c r="W157" s="284" t="n"/>
      <c r="X157" s="210" t="n"/>
      <c r="Y157" s="210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</row>
    <row r="158" ht="24" customHeight="1">
      <c r="A158" s="65" t="inlineStr">
        <is>
          <t>P004</t>
        </is>
      </c>
      <c r="B158" s="96" t="n">
        <v>1</v>
      </c>
      <c r="C158" s="96" t="inlineStr">
        <is>
          <t>方法A</t>
        </is>
      </c>
      <c r="D158" s="96" t="inlineStr">
        <is>
          <t>One-Euro</t>
        </is>
      </c>
      <c r="E158" s="85" t="n"/>
      <c r="F158" s="85" t="n"/>
      <c r="G158" s="75" t="n"/>
      <c r="H158" s="85" t="n"/>
      <c r="I158" s="75" t="n"/>
      <c r="J158" s="85" t="n"/>
      <c r="K158" s="85" t="n"/>
      <c r="L158" s="75" t="n"/>
      <c r="M158" s="85" t="n"/>
      <c r="N158" s="75" t="n"/>
      <c r="O158" s="85" t="n"/>
      <c r="P158" s="85" t="n"/>
      <c r="Q158" s="85" t="n"/>
      <c r="R158" s="85" t="n"/>
      <c r="S158" s="328" t="n"/>
      <c r="T158" s="328" t="n"/>
      <c r="U158" s="85" t="n"/>
      <c r="V158" s="85" t="n"/>
      <c r="W158" s="211" t="n"/>
      <c r="X158" s="210" t="n"/>
      <c r="Y158" s="210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</row>
    <row r="159" ht="24" customHeight="1">
      <c r="A159" s="282" t="inlineStr">
        <is>
          <t>P004</t>
        </is>
      </c>
      <c r="B159" s="283" t="n">
        <v>2</v>
      </c>
      <c r="C159" s="283" t="inlineStr">
        <is>
          <t>方法B</t>
        </is>
      </c>
      <c r="D159" s="283" t="inlineStr">
        <is>
          <t>EgoAnchor</t>
        </is>
      </c>
      <c r="E159" s="284" t="n"/>
      <c r="F159" s="284" t="n"/>
      <c r="G159" s="285" t="n"/>
      <c r="H159" s="284" t="n"/>
      <c r="I159" s="285" t="n"/>
      <c r="J159" s="284" t="n"/>
      <c r="K159" s="284" t="n"/>
      <c r="L159" s="285" t="n"/>
      <c r="M159" s="284" t="n"/>
      <c r="N159" s="285" t="n"/>
      <c r="O159" s="284" t="n"/>
      <c r="P159" s="284" t="n"/>
      <c r="Q159" s="284" t="n"/>
      <c r="R159" s="284" t="n"/>
      <c r="S159" s="330" t="n"/>
      <c r="T159" s="330" t="n"/>
      <c r="U159" s="284" t="n"/>
      <c r="V159" s="284" t="n"/>
      <c r="W159" s="284" t="n"/>
      <c r="X159" s="210" t="n"/>
      <c r="Y159" s="210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</row>
    <row r="160" ht="24" customHeight="1">
      <c r="A160" s="65" t="inlineStr">
        <is>
          <t>P005</t>
        </is>
      </c>
      <c r="B160" s="96" t="n">
        <v>1</v>
      </c>
      <c r="C160" s="96" t="inlineStr">
        <is>
          <t>方法A</t>
        </is>
      </c>
      <c r="D160" s="96" t="inlineStr">
        <is>
          <t>EgoAnchor</t>
        </is>
      </c>
      <c r="E160" s="85" t="n"/>
      <c r="F160" s="85" t="n"/>
      <c r="G160" s="75" t="n"/>
      <c r="H160" s="85" t="n"/>
      <c r="I160" s="75" t="n"/>
      <c r="J160" s="85" t="n"/>
      <c r="K160" s="85" t="n"/>
      <c r="L160" s="75" t="n"/>
      <c r="M160" s="85" t="n"/>
      <c r="N160" s="75" t="n"/>
      <c r="O160" s="85" t="n"/>
      <c r="P160" s="85" t="n"/>
      <c r="Q160" s="85" t="n"/>
      <c r="R160" s="85" t="n"/>
      <c r="S160" s="328" t="n"/>
      <c r="T160" s="328" t="n"/>
      <c r="U160" s="85" t="n"/>
      <c r="V160" s="85" t="n"/>
      <c r="W160" s="211" t="n"/>
      <c r="X160" s="210" t="n"/>
      <c r="Y160" s="210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</row>
    <row r="161" ht="24" customHeight="1">
      <c r="A161" s="282" t="inlineStr">
        <is>
          <t>P005</t>
        </is>
      </c>
      <c r="B161" s="283" t="n">
        <v>2</v>
      </c>
      <c r="C161" s="283" t="inlineStr">
        <is>
          <t>方法B</t>
        </is>
      </c>
      <c r="D161" s="283" t="inlineStr">
        <is>
          <t>One-Euro</t>
        </is>
      </c>
      <c r="E161" s="284" t="n"/>
      <c r="F161" s="284" t="n"/>
      <c r="G161" s="285" t="n"/>
      <c r="H161" s="284" t="n"/>
      <c r="I161" s="285" t="n"/>
      <c r="J161" s="284" t="n"/>
      <c r="K161" s="284" t="n"/>
      <c r="L161" s="285" t="n"/>
      <c r="M161" s="284" t="n"/>
      <c r="N161" s="285" t="n"/>
      <c r="O161" s="284" t="n"/>
      <c r="P161" s="284" t="n"/>
      <c r="Q161" s="284" t="n"/>
      <c r="R161" s="284" t="n"/>
      <c r="S161" s="330" t="n"/>
      <c r="T161" s="330" t="n"/>
      <c r="U161" s="284" t="n"/>
      <c r="V161" s="284" t="n"/>
      <c r="W161" s="284" t="n"/>
      <c r="X161" s="210" t="n"/>
      <c r="Y161" s="210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</row>
    <row r="162" ht="24" customHeight="1">
      <c r="A162" s="65" t="inlineStr">
        <is>
          <t>P006</t>
        </is>
      </c>
      <c r="B162" s="96" t="n">
        <v>1</v>
      </c>
      <c r="C162" s="96" t="inlineStr">
        <is>
          <t>方法B</t>
        </is>
      </c>
      <c r="D162" s="96" t="inlineStr">
        <is>
          <t>One-Euro</t>
        </is>
      </c>
      <c r="E162" s="85" t="n"/>
      <c r="F162" s="85" t="n"/>
      <c r="G162" s="75" t="n"/>
      <c r="H162" s="85" t="n"/>
      <c r="I162" s="75" t="n"/>
      <c r="J162" s="85" t="n"/>
      <c r="K162" s="85" t="n"/>
      <c r="L162" s="75" t="n"/>
      <c r="M162" s="85" t="n"/>
      <c r="N162" s="75" t="n"/>
      <c r="O162" s="85" t="n"/>
      <c r="P162" s="85" t="n"/>
      <c r="Q162" s="85" t="n"/>
      <c r="R162" s="85" t="n"/>
      <c r="S162" s="328" t="n"/>
      <c r="T162" s="328" t="n"/>
      <c r="U162" s="85" t="n"/>
      <c r="V162" s="85" t="n"/>
      <c r="W162" s="211" t="n"/>
      <c r="X162" s="210" t="n"/>
      <c r="Y162" s="210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</row>
    <row r="163" ht="24" customHeight="1">
      <c r="A163" s="282" t="inlineStr">
        <is>
          <t>P006</t>
        </is>
      </c>
      <c r="B163" s="283" t="n">
        <v>2</v>
      </c>
      <c r="C163" s="283" t="inlineStr">
        <is>
          <t>方法A</t>
        </is>
      </c>
      <c r="D163" s="283" t="inlineStr">
        <is>
          <t>EgoAnchor</t>
        </is>
      </c>
      <c r="E163" s="284" t="n"/>
      <c r="F163" s="284" t="n"/>
      <c r="G163" s="285" t="n"/>
      <c r="H163" s="284" t="n"/>
      <c r="I163" s="285" t="n"/>
      <c r="J163" s="284" t="n"/>
      <c r="K163" s="284" t="n"/>
      <c r="L163" s="285" t="n"/>
      <c r="M163" s="284" t="n"/>
      <c r="N163" s="285" t="n"/>
      <c r="O163" s="284" t="n"/>
      <c r="P163" s="284" t="n"/>
      <c r="Q163" s="284" t="n"/>
      <c r="R163" s="284" t="n"/>
      <c r="S163" s="330" t="n"/>
      <c r="T163" s="330" t="n"/>
      <c r="U163" s="284" t="n"/>
      <c r="V163" s="284" t="n"/>
      <c r="W163" s="284" t="n"/>
      <c r="X163" s="210" t="n"/>
      <c r="Y163" s="210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</row>
    <row r="164" ht="24" customHeight="1">
      <c r="A164" s="65" t="inlineStr">
        <is>
          <t>P007</t>
        </is>
      </c>
      <c r="B164" s="96" t="n">
        <v>1</v>
      </c>
      <c r="C164" s="96" t="inlineStr">
        <is>
          <t>方法B</t>
        </is>
      </c>
      <c r="D164" s="96" t="inlineStr">
        <is>
          <t>EgoAnchor</t>
        </is>
      </c>
      <c r="E164" s="85" t="n"/>
      <c r="F164" s="85" t="n"/>
      <c r="G164" s="75" t="n"/>
      <c r="H164" s="85" t="n"/>
      <c r="I164" s="75" t="n"/>
      <c r="J164" s="85" t="n"/>
      <c r="K164" s="85" t="n"/>
      <c r="L164" s="75" t="n"/>
      <c r="M164" s="85" t="n"/>
      <c r="N164" s="75" t="n"/>
      <c r="O164" s="85" t="n"/>
      <c r="P164" s="85" t="n"/>
      <c r="Q164" s="85" t="n"/>
      <c r="R164" s="85" t="n"/>
      <c r="S164" s="328" t="n"/>
      <c r="T164" s="328" t="n"/>
      <c r="U164" s="85" t="n"/>
      <c r="V164" s="85" t="n"/>
      <c r="W164" s="211" t="n"/>
      <c r="X164" s="210" t="n"/>
      <c r="Y164" s="210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</row>
    <row r="165" ht="24" customHeight="1">
      <c r="A165" s="282" t="inlineStr">
        <is>
          <t>P007</t>
        </is>
      </c>
      <c r="B165" s="283" t="n">
        <v>2</v>
      </c>
      <c r="C165" s="283" t="inlineStr">
        <is>
          <t>方法A</t>
        </is>
      </c>
      <c r="D165" s="283" t="inlineStr">
        <is>
          <t>One-Euro</t>
        </is>
      </c>
      <c r="E165" s="284" t="n"/>
      <c r="F165" s="284" t="n"/>
      <c r="G165" s="285" t="n"/>
      <c r="H165" s="284" t="n"/>
      <c r="I165" s="285" t="n"/>
      <c r="J165" s="284" t="n"/>
      <c r="K165" s="284" t="n"/>
      <c r="L165" s="285" t="n"/>
      <c r="M165" s="284" t="n"/>
      <c r="N165" s="285" t="n"/>
      <c r="O165" s="284" t="n"/>
      <c r="P165" s="284" t="n"/>
      <c r="Q165" s="284" t="n"/>
      <c r="R165" s="284" t="n"/>
      <c r="S165" s="330" t="n"/>
      <c r="T165" s="330" t="n"/>
      <c r="U165" s="284" t="n"/>
      <c r="V165" s="284" t="n"/>
      <c r="W165" s="284" t="n"/>
      <c r="X165" s="210" t="n"/>
      <c r="Y165" s="210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</row>
    <row r="166" ht="24" customHeight="1">
      <c r="A166" s="65" t="inlineStr">
        <is>
          <t>P008</t>
        </is>
      </c>
      <c r="B166" s="96" t="n">
        <v>1</v>
      </c>
      <c r="C166" s="96" t="inlineStr">
        <is>
          <t>方法A</t>
        </is>
      </c>
      <c r="D166" s="96" t="inlineStr">
        <is>
          <t>One-Euro</t>
        </is>
      </c>
      <c r="E166" s="85" t="n"/>
      <c r="F166" s="85" t="n"/>
      <c r="G166" s="75" t="n"/>
      <c r="H166" s="85" t="n"/>
      <c r="I166" s="75" t="n"/>
      <c r="J166" s="85" t="n"/>
      <c r="K166" s="85" t="n"/>
      <c r="L166" s="75" t="n"/>
      <c r="M166" s="85" t="n"/>
      <c r="N166" s="75" t="n"/>
      <c r="O166" s="85" t="n"/>
      <c r="P166" s="85" t="n"/>
      <c r="Q166" s="85" t="n"/>
      <c r="R166" s="85" t="n"/>
      <c r="S166" s="328" t="n"/>
      <c r="T166" s="328" t="n"/>
      <c r="U166" s="85" t="n"/>
      <c r="V166" s="85" t="n"/>
      <c r="W166" s="211" t="n"/>
      <c r="X166" s="210" t="n"/>
      <c r="Y166" s="210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</row>
    <row r="167" ht="24" customHeight="1">
      <c r="A167" s="282" t="inlineStr">
        <is>
          <t>P008</t>
        </is>
      </c>
      <c r="B167" s="283" t="n">
        <v>2</v>
      </c>
      <c r="C167" s="283" t="inlineStr">
        <is>
          <t>方法B</t>
        </is>
      </c>
      <c r="D167" s="283" t="inlineStr">
        <is>
          <t>EgoAnchor</t>
        </is>
      </c>
      <c r="E167" s="284" t="n"/>
      <c r="F167" s="284" t="n"/>
      <c r="G167" s="285" t="n"/>
      <c r="H167" s="284" t="n"/>
      <c r="I167" s="285" t="n"/>
      <c r="J167" s="284" t="n"/>
      <c r="K167" s="284" t="n"/>
      <c r="L167" s="285" t="n"/>
      <c r="M167" s="284" t="n"/>
      <c r="N167" s="285" t="n"/>
      <c r="O167" s="284" t="n"/>
      <c r="P167" s="284" t="n"/>
      <c r="Q167" s="284" t="n"/>
      <c r="R167" s="284" t="n"/>
      <c r="S167" s="330" t="n"/>
      <c r="T167" s="330" t="n"/>
      <c r="U167" s="284" t="n"/>
      <c r="V167" s="284" t="n"/>
      <c r="W167" s="284" t="n"/>
      <c r="X167" s="210" t="n"/>
      <c r="Y167" s="210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</row>
    <row r="168" ht="24" customHeight="1">
      <c r="A168" s="65" t="inlineStr">
        <is>
          <t>P009</t>
        </is>
      </c>
      <c r="B168" s="96" t="n">
        <v>1</v>
      </c>
      <c r="C168" s="96" t="inlineStr">
        <is>
          <t>方法A</t>
        </is>
      </c>
      <c r="D168" s="96" t="inlineStr">
        <is>
          <t>EgoAnchor</t>
        </is>
      </c>
      <c r="E168" s="85" t="n"/>
      <c r="F168" s="85" t="n"/>
      <c r="G168" s="75" t="n"/>
      <c r="H168" s="85" t="n"/>
      <c r="I168" s="75" t="n"/>
      <c r="J168" s="85" t="n"/>
      <c r="K168" s="85" t="n"/>
      <c r="L168" s="75" t="n"/>
      <c r="M168" s="85" t="n"/>
      <c r="N168" s="75" t="n"/>
      <c r="O168" s="85" t="n"/>
      <c r="P168" s="85" t="n"/>
      <c r="Q168" s="85" t="n"/>
      <c r="R168" s="85" t="n"/>
      <c r="S168" s="328" t="n"/>
      <c r="T168" s="328" t="n"/>
      <c r="U168" s="85" t="n"/>
      <c r="V168" s="85" t="n"/>
      <c r="W168" s="211" t="n"/>
      <c r="X168" s="210" t="n"/>
      <c r="Y168" s="210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</row>
    <row r="169" ht="24" customHeight="1">
      <c r="A169" s="282" t="inlineStr">
        <is>
          <t>P009</t>
        </is>
      </c>
      <c r="B169" s="283" t="n">
        <v>2</v>
      </c>
      <c r="C169" s="283" t="inlineStr">
        <is>
          <t>方法B</t>
        </is>
      </c>
      <c r="D169" s="283" t="inlineStr">
        <is>
          <t>One-Euro</t>
        </is>
      </c>
      <c r="E169" s="284" t="n"/>
      <c r="F169" s="284" t="n"/>
      <c r="G169" s="285" t="n"/>
      <c r="H169" s="284" t="n"/>
      <c r="I169" s="285" t="n"/>
      <c r="J169" s="284" t="n"/>
      <c r="K169" s="284" t="n"/>
      <c r="L169" s="285" t="n"/>
      <c r="M169" s="284" t="n"/>
      <c r="N169" s="285" t="n"/>
      <c r="O169" s="284" t="n"/>
      <c r="P169" s="284" t="n"/>
      <c r="Q169" s="284" t="n"/>
      <c r="R169" s="284" t="n"/>
      <c r="S169" s="330" t="n"/>
      <c r="T169" s="330" t="n"/>
      <c r="U169" s="284" t="n"/>
      <c r="V169" s="284" t="n"/>
      <c r="W169" s="284" t="n"/>
      <c r="X169" s="210" t="n"/>
      <c r="Y169" s="210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</row>
    <row r="170" ht="24" customHeight="1">
      <c r="A170" s="65" t="inlineStr">
        <is>
          <t>P010</t>
        </is>
      </c>
      <c r="B170" s="96" t="n">
        <v>1</v>
      </c>
      <c r="C170" s="96" t="inlineStr">
        <is>
          <t>方法B</t>
        </is>
      </c>
      <c r="D170" s="96" t="inlineStr">
        <is>
          <t>One-Euro</t>
        </is>
      </c>
      <c r="E170" s="85" t="n"/>
      <c r="F170" s="85" t="n"/>
      <c r="G170" s="75" t="n"/>
      <c r="H170" s="85" t="n"/>
      <c r="I170" s="75" t="n"/>
      <c r="J170" s="85" t="n"/>
      <c r="K170" s="85" t="n"/>
      <c r="L170" s="75" t="n"/>
      <c r="M170" s="85" t="n"/>
      <c r="N170" s="75" t="n"/>
      <c r="O170" s="85" t="n"/>
      <c r="P170" s="85" t="n"/>
      <c r="Q170" s="85" t="n"/>
      <c r="R170" s="85" t="n"/>
      <c r="S170" s="328" t="n"/>
      <c r="T170" s="328" t="n"/>
      <c r="U170" s="85" t="n"/>
      <c r="V170" s="85" t="n"/>
      <c r="W170" s="211" t="n"/>
      <c r="X170" s="210" t="n"/>
      <c r="Y170" s="210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</row>
    <row r="171" ht="24" customHeight="1">
      <c r="A171" s="282" t="inlineStr">
        <is>
          <t>P010</t>
        </is>
      </c>
      <c r="B171" s="283" t="n">
        <v>2</v>
      </c>
      <c r="C171" s="283" t="inlineStr">
        <is>
          <t>方法A</t>
        </is>
      </c>
      <c r="D171" s="283" t="inlineStr">
        <is>
          <t>EgoAnchor</t>
        </is>
      </c>
      <c r="E171" s="284" t="n"/>
      <c r="F171" s="284" t="n"/>
      <c r="G171" s="285" t="n"/>
      <c r="H171" s="284" t="n"/>
      <c r="I171" s="285" t="n"/>
      <c r="J171" s="284" t="n"/>
      <c r="K171" s="284" t="n"/>
      <c r="L171" s="285" t="n"/>
      <c r="M171" s="284" t="n"/>
      <c r="N171" s="285" t="n"/>
      <c r="O171" s="284" t="n"/>
      <c r="P171" s="284" t="n"/>
      <c r="Q171" s="284" t="n"/>
      <c r="R171" s="284" t="n"/>
      <c r="S171" s="330" t="n"/>
      <c r="T171" s="330" t="n"/>
      <c r="U171" s="284" t="n"/>
      <c r="V171" s="284" t="n"/>
      <c r="W171" s="284" t="n"/>
      <c r="X171" s="210" t="n"/>
      <c r="Y171" s="210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</row>
    <row r="172" ht="24" customHeight="1">
      <c r="A172" s="65" t="inlineStr">
        <is>
          <t>P011</t>
        </is>
      </c>
      <c r="B172" s="96" t="n">
        <v>1</v>
      </c>
      <c r="C172" s="96" t="inlineStr">
        <is>
          <t>方法B</t>
        </is>
      </c>
      <c r="D172" s="96" t="inlineStr">
        <is>
          <t>EgoAnchor</t>
        </is>
      </c>
      <c r="E172" s="85" t="n"/>
      <c r="F172" s="85" t="n"/>
      <c r="G172" s="75" t="n"/>
      <c r="H172" s="85" t="n"/>
      <c r="I172" s="75" t="n"/>
      <c r="J172" s="85" t="n"/>
      <c r="K172" s="85" t="n"/>
      <c r="L172" s="75" t="n"/>
      <c r="M172" s="85" t="n"/>
      <c r="N172" s="75" t="n"/>
      <c r="O172" s="85" t="n"/>
      <c r="P172" s="85" t="n"/>
      <c r="Q172" s="85" t="n"/>
      <c r="R172" s="85" t="n"/>
      <c r="S172" s="328" t="n"/>
      <c r="T172" s="328" t="n"/>
      <c r="U172" s="85" t="n"/>
      <c r="V172" s="85" t="n"/>
      <c r="W172" s="211" t="n"/>
      <c r="X172" s="210" t="n"/>
      <c r="Y172" s="210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</row>
    <row r="173" ht="24" customHeight="1">
      <c r="A173" s="282" t="inlineStr">
        <is>
          <t>P011</t>
        </is>
      </c>
      <c r="B173" s="283" t="n">
        <v>2</v>
      </c>
      <c r="C173" s="283" t="inlineStr">
        <is>
          <t>方法A</t>
        </is>
      </c>
      <c r="D173" s="283" t="inlineStr">
        <is>
          <t>One-Euro</t>
        </is>
      </c>
      <c r="E173" s="284" t="n"/>
      <c r="F173" s="284" t="n"/>
      <c r="G173" s="285" t="n"/>
      <c r="H173" s="284" t="n"/>
      <c r="I173" s="285" t="n"/>
      <c r="J173" s="284" t="n"/>
      <c r="K173" s="284" t="n"/>
      <c r="L173" s="285" t="n"/>
      <c r="M173" s="284" t="n"/>
      <c r="N173" s="285" t="n"/>
      <c r="O173" s="284" t="n"/>
      <c r="P173" s="284" t="n"/>
      <c r="Q173" s="284" t="n"/>
      <c r="R173" s="284" t="n"/>
      <c r="S173" s="330" t="n"/>
      <c r="T173" s="330" t="n"/>
      <c r="U173" s="284" t="n"/>
      <c r="V173" s="284" t="n"/>
      <c r="W173" s="284" t="n"/>
      <c r="X173" s="210" t="n"/>
      <c r="Y173" s="210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</row>
    <row r="174" ht="24" customHeight="1">
      <c r="A174" s="65" t="inlineStr">
        <is>
          <t>P012</t>
        </is>
      </c>
      <c r="B174" s="96" t="n">
        <v>1</v>
      </c>
      <c r="C174" s="96" t="inlineStr">
        <is>
          <t>方法A</t>
        </is>
      </c>
      <c r="D174" s="96" t="inlineStr">
        <is>
          <t>One-Euro</t>
        </is>
      </c>
      <c r="E174" s="85" t="n"/>
      <c r="F174" s="85" t="n"/>
      <c r="G174" s="75" t="n"/>
      <c r="H174" s="85" t="n"/>
      <c r="I174" s="75" t="n"/>
      <c r="J174" s="85" t="n"/>
      <c r="K174" s="85" t="n"/>
      <c r="L174" s="75" t="n"/>
      <c r="M174" s="85" t="n"/>
      <c r="N174" s="75" t="n"/>
      <c r="O174" s="85" t="n"/>
      <c r="P174" s="85" t="n"/>
      <c r="Q174" s="85" t="n"/>
      <c r="R174" s="85" t="n"/>
      <c r="S174" s="328" t="n"/>
      <c r="T174" s="328" t="n"/>
      <c r="U174" s="85" t="n"/>
      <c r="V174" s="85" t="n"/>
      <c r="W174" s="211" t="n"/>
      <c r="X174" s="210" t="n"/>
      <c r="Y174" s="210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</row>
    <row r="175" ht="24" customHeight="1">
      <c r="A175" s="282" t="inlineStr">
        <is>
          <t>P012</t>
        </is>
      </c>
      <c r="B175" s="283" t="n">
        <v>2</v>
      </c>
      <c r="C175" s="283" t="inlineStr">
        <is>
          <t>方法B</t>
        </is>
      </c>
      <c r="D175" s="283" t="inlineStr">
        <is>
          <t>EgoAnchor</t>
        </is>
      </c>
      <c r="E175" s="284" t="n"/>
      <c r="F175" s="284" t="n"/>
      <c r="G175" s="285" t="n"/>
      <c r="H175" s="284" t="n"/>
      <c r="I175" s="285" t="n"/>
      <c r="J175" s="284" t="n"/>
      <c r="K175" s="284" t="n"/>
      <c r="L175" s="285" t="n"/>
      <c r="M175" s="284" t="n"/>
      <c r="N175" s="285" t="n"/>
      <c r="O175" s="284" t="n"/>
      <c r="P175" s="284" t="n"/>
      <c r="Q175" s="284" t="n"/>
      <c r="R175" s="284" t="n"/>
      <c r="S175" s="330" t="n"/>
      <c r="T175" s="330" t="n"/>
      <c r="U175" s="284" t="n"/>
      <c r="V175" s="284" t="n"/>
      <c r="W175" s="284" t="n"/>
      <c r="X175" s="210" t="n"/>
      <c r="Y175" s="210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</row>
    <row r="176" ht="24" customHeight="1">
      <c r="A176" s="65" t="inlineStr">
        <is>
          <t>P013</t>
        </is>
      </c>
      <c r="B176" s="96" t="n">
        <v>1</v>
      </c>
      <c r="C176" s="96" t="inlineStr">
        <is>
          <t>方法A</t>
        </is>
      </c>
      <c r="D176" s="96" t="inlineStr">
        <is>
          <t>EgoAnchor</t>
        </is>
      </c>
      <c r="E176" s="85" t="n"/>
      <c r="F176" s="85" t="n"/>
      <c r="G176" s="75" t="n"/>
      <c r="H176" s="85" t="n"/>
      <c r="I176" s="75" t="n"/>
      <c r="J176" s="85" t="n"/>
      <c r="K176" s="85" t="n"/>
      <c r="L176" s="75" t="n"/>
      <c r="M176" s="85" t="n"/>
      <c r="N176" s="75" t="n"/>
      <c r="O176" s="85" t="n"/>
      <c r="P176" s="85" t="n"/>
      <c r="Q176" s="85" t="n"/>
      <c r="R176" s="85" t="n"/>
      <c r="S176" s="328" t="n"/>
      <c r="T176" s="328" t="n"/>
      <c r="U176" s="85" t="n"/>
      <c r="V176" s="85" t="n"/>
      <c r="W176" s="211" t="n"/>
      <c r="X176" s="210" t="n"/>
      <c r="Y176" s="210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</row>
    <row r="177" ht="24" customHeight="1">
      <c r="A177" s="282" t="inlineStr">
        <is>
          <t>P013</t>
        </is>
      </c>
      <c r="B177" s="283" t="n">
        <v>2</v>
      </c>
      <c r="C177" s="283" t="inlineStr">
        <is>
          <t>方法B</t>
        </is>
      </c>
      <c r="D177" s="283" t="inlineStr">
        <is>
          <t>One-Euro</t>
        </is>
      </c>
      <c r="E177" s="284" t="n"/>
      <c r="F177" s="284" t="n"/>
      <c r="G177" s="285" t="n"/>
      <c r="H177" s="284" t="n"/>
      <c r="I177" s="285" t="n"/>
      <c r="J177" s="284" t="n"/>
      <c r="K177" s="284" t="n"/>
      <c r="L177" s="285" t="n"/>
      <c r="M177" s="284" t="n"/>
      <c r="N177" s="285" t="n"/>
      <c r="O177" s="284" t="n"/>
      <c r="P177" s="284" t="n"/>
      <c r="Q177" s="284" t="n"/>
      <c r="R177" s="284" t="n"/>
      <c r="S177" s="330" t="n"/>
      <c r="T177" s="330" t="n"/>
      <c r="U177" s="284" t="n"/>
      <c r="V177" s="284" t="n"/>
      <c r="W177" s="284" t="n"/>
      <c r="X177" s="210" t="n"/>
      <c r="Y177" s="210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</row>
    <row r="178" ht="24" customHeight="1">
      <c r="A178" s="65" t="inlineStr">
        <is>
          <t>P014</t>
        </is>
      </c>
      <c r="B178" s="96" t="n">
        <v>1</v>
      </c>
      <c r="C178" s="96" t="inlineStr">
        <is>
          <t>方法B</t>
        </is>
      </c>
      <c r="D178" s="96" t="inlineStr">
        <is>
          <t>One-Euro</t>
        </is>
      </c>
      <c r="E178" s="85" t="n"/>
      <c r="F178" s="85" t="n"/>
      <c r="G178" s="75" t="n"/>
      <c r="H178" s="85" t="n"/>
      <c r="I178" s="75" t="n"/>
      <c r="J178" s="85" t="n"/>
      <c r="K178" s="85" t="n"/>
      <c r="L178" s="75" t="n"/>
      <c r="M178" s="85" t="n"/>
      <c r="N178" s="75" t="n"/>
      <c r="O178" s="85" t="n"/>
      <c r="P178" s="85" t="n"/>
      <c r="Q178" s="85" t="n"/>
      <c r="R178" s="85" t="n"/>
      <c r="S178" s="328" t="n"/>
      <c r="T178" s="328" t="n"/>
      <c r="U178" s="85" t="n"/>
      <c r="V178" s="85" t="n"/>
      <c r="W178" s="211" t="n"/>
      <c r="X178" s="210" t="n"/>
      <c r="Y178" s="210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</row>
    <row r="179" ht="24" customHeight="1">
      <c r="A179" s="282" t="inlineStr">
        <is>
          <t>P014</t>
        </is>
      </c>
      <c r="B179" s="283" t="n">
        <v>2</v>
      </c>
      <c r="C179" s="283" t="inlineStr">
        <is>
          <t>方法A</t>
        </is>
      </c>
      <c r="D179" s="283" t="inlineStr">
        <is>
          <t>EgoAnchor</t>
        </is>
      </c>
      <c r="E179" s="284" t="n"/>
      <c r="F179" s="284" t="n"/>
      <c r="G179" s="285" t="n"/>
      <c r="H179" s="284" t="n"/>
      <c r="I179" s="285" t="n"/>
      <c r="J179" s="284" t="n"/>
      <c r="K179" s="284" t="n"/>
      <c r="L179" s="285" t="n"/>
      <c r="M179" s="284" t="n"/>
      <c r="N179" s="285" t="n"/>
      <c r="O179" s="284" t="n"/>
      <c r="P179" s="284" t="n"/>
      <c r="Q179" s="284" t="n"/>
      <c r="R179" s="284" t="n"/>
      <c r="S179" s="330" t="n"/>
      <c r="T179" s="330" t="n"/>
      <c r="U179" s="284" t="n"/>
      <c r="V179" s="284" t="n"/>
      <c r="W179" s="284" t="n"/>
      <c r="X179" s="210" t="n"/>
      <c r="Y179" s="210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</row>
    <row r="180" ht="24" customHeight="1">
      <c r="A180" s="65" t="inlineStr">
        <is>
          <t>P015</t>
        </is>
      </c>
      <c r="B180" s="96" t="n">
        <v>1</v>
      </c>
      <c r="C180" s="96" t="inlineStr">
        <is>
          <t>方法B</t>
        </is>
      </c>
      <c r="D180" s="96" t="inlineStr">
        <is>
          <t>EgoAnchor</t>
        </is>
      </c>
      <c r="E180" s="85" t="n"/>
      <c r="F180" s="85" t="n"/>
      <c r="G180" s="75" t="n"/>
      <c r="H180" s="85" t="n"/>
      <c r="I180" s="75" t="n"/>
      <c r="J180" s="85" t="n"/>
      <c r="K180" s="85" t="n"/>
      <c r="L180" s="75" t="n"/>
      <c r="M180" s="85" t="n"/>
      <c r="N180" s="75" t="n"/>
      <c r="O180" s="85" t="n"/>
      <c r="P180" s="85" t="n"/>
      <c r="Q180" s="85" t="n"/>
      <c r="R180" s="85" t="n"/>
      <c r="S180" s="328" t="n"/>
      <c r="T180" s="328" t="n"/>
      <c r="U180" s="85" t="n"/>
      <c r="V180" s="85" t="n"/>
      <c r="W180" s="211" t="n"/>
      <c r="X180" s="210" t="n"/>
      <c r="Y180" s="210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</row>
    <row r="181" ht="24" customHeight="1">
      <c r="A181" s="282" t="inlineStr">
        <is>
          <t>P015</t>
        </is>
      </c>
      <c r="B181" s="283" t="n">
        <v>2</v>
      </c>
      <c r="C181" s="283" t="inlineStr">
        <is>
          <t>方法A</t>
        </is>
      </c>
      <c r="D181" s="283" t="inlineStr">
        <is>
          <t>One-Euro</t>
        </is>
      </c>
      <c r="E181" s="284" t="n"/>
      <c r="F181" s="284" t="n"/>
      <c r="G181" s="285" t="n"/>
      <c r="H181" s="284" t="n"/>
      <c r="I181" s="285" t="n"/>
      <c r="J181" s="284" t="n"/>
      <c r="K181" s="284" t="n"/>
      <c r="L181" s="285" t="n"/>
      <c r="M181" s="284" t="n"/>
      <c r="N181" s="285" t="n"/>
      <c r="O181" s="284" t="n"/>
      <c r="P181" s="284" t="n"/>
      <c r="Q181" s="284" t="n"/>
      <c r="R181" s="284" t="n"/>
      <c r="S181" s="330" t="n"/>
      <c r="T181" s="330" t="n"/>
      <c r="U181" s="284" t="n"/>
      <c r="V181" s="284" t="n"/>
      <c r="W181" s="284" t="n"/>
      <c r="X181" s="210" t="n"/>
      <c r="Y181" s="210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</row>
    <row r="182" ht="24" customHeight="1">
      <c r="A182" s="65" t="inlineStr">
        <is>
          <t>P016</t>
        </is>
      </c>
      <c r="B182" s="96" t="n">
        <v>1</v>
      </c>
      <c r="C182" s="96" t="inlineStr">
        <is>
          <t>方法A</t>
        </is>
      </c>
      <c r="D182" s="96" t="inlineStr">
        <is>
          <t>One-Euro</t>
        </is>
      </c>
      <c r="E182" s="85" t="n"/>
      <c r="F182" s="85" t="n"/>
      <c r="G182" s="75" t="n"/>
      <c r="H182" s="85" t="n"/>
      <c r="I182" s="75" t="n"/>
      <c r="J182" s="85" t="n"/>
      <c r="K182" s="85" t="n"/>
      <c r="L182" s="75" t="n"/>
      <c r="M182" s="85" t="n"/>
      <c r="N182" s="75" t="n"/>
      <c r="O182" s="85" t="n"/>
      <c r="P182" s="85" t="n"/>
      <c r="Q182" s="85" t="n"/>
      <c r="R182" s="85" t="n"/>
      <c r="S182" s="328" t="n"/>
      <c r="T182" s="328" t="n"/>
      <c r="U182" s="85" t="n"/>
      <c r="V182" s="85" t="n"/>
      <c r="W182" s="211" t="n"/>
      <c r="X182" s="210" t="n"/>
      <c r="Y182" s="210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</row>
    <row r="183" ht="24" customHeight="1">
      <c r="A183" s="282" t="inlineStr">
        <is>
          <t>P016</t>
        </is>
      </c>
      <c r="B183" s="283" t="n">
        <v>2</v>
      </c>
      <c r="C183" s="283" t="inlineStr">
        <is>
          <t>方法B</t>
        </is>
      </c>
      <c r="D183" s="283" t="inlineStr">
        <is>
          <t>EgoAnchor</t>
        </is>
      </c>
      <c r="E183" s="284" t="n"/>
      <c r="F183" s="284" t="n"/>
      <c r="G183" s="285" t="n"/>
      <c r="H183" s="284" t="n"/>
      <c r="I183" s="285" t="n"/>
      <c r="J183" s="284" t="n"/>
      <c r="K183" s="284" t="n"/>
      <c r="L183" s="285" t="n"/>
      <c r="M183" s="284" t="n"/>
      <c r="N183" s="285" t="n"/>
      <c r="O183" s="284" t="n"/>
      <c r="P183" s="284" t="n"/>
      <c r="Q183" s="284" t="n"/>
      <c r="R183" s="284" t="n"/>
      <c r="S183" s="330" t="n"/>
      <c r="T183" s="330" t="n"/>
      <c r="U183" s="284" t="n"/>
      <c r="V183" s="284" t="n"/>
      <c r="W183" s="284" t="n"/>
      <c r="X183" s="210" t="n"/>
      <c r="Y183" s="210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</row>
    <row r="184" ht="24" customHeight="1">
      <c r="A184" s="65" t="inlineStr">
        <is>
          <t>P017</t>
        </is>
      </c>
      <c r="B184" s="96" t="n">
        <v>1</v>
      </c>
      <c r="C184" s="96" t="inlineStr">
        <is>
          <t>方法A</t>
        </is>
      </c>
      <c r="D184" s="96" t="inlineStr">
        <is>
          <t>EgoAnchor</t>
        </is>
      </c>
      <c r="E184" s="85" t="n"/>
      <c r="F184" s="85" t="n"/>
      <c r="G184" s="75" t="n"/>
      <c r="H184" s="85" t="n"/>
      <c r="I184" s="75" t="n"/>
      <c r="J184" s="85" t="n"/>
      <c r="K184" s="85" t="n"/>
      <c r="L184" s="75" t="n"/>
      <c r="M184" s="85" t="n"/>
      <c r="N184" s="75" t="n"/>
      <c r="O184" s="85" t="n"/>
      <c r="P184" s="85" t="n"/>
      <c r="Q184" s="85" t="n"/>
      <c r="R184" s="85" t="n"/>
      <c r="S184" s="328" t="n"/>
      <c r="T184" s="328" t="n"/>
      <c r="U184" s="85" t="n"/>
      <c r="V184" s="85" t="n"/>
      <c r="W184" s="211" t="n"/>
      <c r="X184" s="210" t="n"/>
      <c r="Y184" s="210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</row>
    <row r="185" ht="24" customHeight="1">
      <c r="A185" s="282" t="inlineStr">
        <is>
          <t>P017</t>
        </is>
      </c>
      <c r="B185" s="283" t="n">
        <v>2</v>
      </c>
      <c r="C185" s="283" t="inlineStr">
        <is>
          <t>方法B</t>
        </is>
      </c>
      <c r="D185" s="283" t="inlineStr">
        <is>
          <t>One-Euro</t>
        </is>
      </c>
      <c r="E185" s="284" t="n"/>
      <c r="F185" s="284" t="n"/>
      <c r="G185" s="285" t="n"/>
      <c r="H185" s="284" t="n"/>
      <c r="I185" s="285" t="n"/>
      <c r="J185" s="284" t="n"/>
      <c r="K185" s="284" t="n"/>
      <c r="L185" s="285" t="n"/>
      <c r="M185" s="284" t="n"/>
      <c r="N185" s="285" t="n"/>
      <c r="O185" s="284" t="n"/>
      <c r="P185" s="284" t="n"/>
      <c r="Q185" s="284" t="n"/>
      <c r="R185" s="284" t="n"/>
      <c r="S185" s="330" t="n"/>
      <c r="T185" s="330" t="n"/>
      <c r="U185" s="284" t="n"/>
      <c r="V185" s="284" t="n"/>
      <c r="W185" s="284" t="n"/>
      <c r="X185" s="210" t="n"/>
      <c r="Y185" s="210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</row>
    <row r="186" ht="24" customHeight="1">
      <c r="A186" s="65" t="inlineStr">
        <is>
          <t>P018</t>
        </is>
      </c>
      <c r="B186" s="96" t="n">
        <v>1</v>
      </c>
      <c r="C186" s="96" t="inlineStr">
        <is>
          <t>方法B</t>
        </is>
      </c>
      <c r="D186" s="96" t="inlineStr">
        <is>
          <t>One-Euro</t>
        </is>
      </c>
      <c r="E186" s="85" t="n"/>
      <c r="F186" s="85" t="n"/>
      <c r="G186" s="75" t="n"/>
      <c r="H186" s="85" t="n"/>
      <c r="I186" s="75" t="n"/>
      <c r="J186" s="85" t="n"/>
      <c r="K186" s="85" t="n"/>
      <c r="L186" s="75" t="n"/>
      <c r="M186" s="85" t="n"/>
      <c r="N186" s="75" t="n"/>
      <c r="O186" s="85" t="n"/>
      <c r="P186" s="85" t="n"/>
      <c r="Q186" s="85" t="n"/>
      <c r="R186" s="85" t="n"/>
      <c r="S186" s="328" t="n"/>
      <c r="T186" s="328" t="n"/>
      <c r="U186" s="85" t="n"/>
      <c r="V186" s="85" t="n"/>
      <c r="W186" s="211" t="n"/>
      <c r="X186" s="210" t="n"/>
      <c r="Y186" s="210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</row>
    <row r="187" ht="24" customHeight="1">
      <c r="A187" s="282" t="inlineStr">
        <is>
          <t>P018</t>
        </is>
      </c>
      <c r="B187" s="283" t="n">
        <v>2</v>
      </c>
      <c r="C187" s="283" t="inlineStr">
        <is>
          <t>方法A</t>
        </is>
      </c>
      <c r="D187" s="283" t="inlineStr">
        <is>
          <t>EgoAnchor</t>
        </is>
      </c>
      <c r="E187" s="284" t="n"/>
      <c r="F187" s="284" t="n"/>
      <c r="G187" s="285" t="n"/>
      <c r="H187" s="284" t="n"/>
      <c r="I187" s="285" t="n"/>
      <c r="J187" s="284" t="n"/>
      <c r="K187" s="284" t="n"/>
      <c r="L187" s="285" t="n"/>
      <c r="M187" s="284" t="n"/>
      <c r="N187" s="285" t="n"/>
      <c r="O187" s="284" t="n"/>
      <c r="P187" s="284" t="n"/>
      <c r="Q187" s="284" t="n"/>
      <c r="R187" s="284" t="n"/>
      <c r="S187" s="330" t="n"/>
      <c r="T187" s="330" t="n"/>
      <c r="U187" s="284" t="n"/>
      <c r="V187" s="284" t="n"/>
      <c r="W187" s="284" t="n"/>
      <c r="X187" s="210" t="n"/>
      <c r="Y187" s="210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</row>
    <row r="188" ht="24" customHeight="1">
      <c r="A188" s="65" t="inlineStr">
        <is>
          <t>P019</t>
        </is>
      </c>
      <c r="B188" s="96" t="n">
        <v>1</v>
      </c>
      <c r="C188" s="96" t="inlineStr">
        <is>
          <t>方法B</t>
        </is>
      </c>
      <c r="D188" s="96" t="inlineStr">
        <is>
          <t>EgoAnchor</t>
        </is>
      </c>
      <c r="E188" s="85" t="n"/>
      <c r="F188" s="85" t="n"/>
      <c r="G188" s="75" t="n"/>
      <c r="H188" s="85" t="n"/>
      <c r="I188" s="75" t="n"/>
      <c r="J188" s="85" t="n"/>
      <c r="K188" s="85" t="n"/>
      <c r="L188" s="75" t="n"/>
      <c r="M188" s="85" t="n"/>
      <c r="N188" s="75" t="n"/>
      <c r="O188" s="85" t="n"/>
      <c r="P188" s="85" t="n"/>
      <c r="Q188" s="85" t="n"/>
      <c r="R188" s="85" t="n"/>
      <c r="S188" s="328" t="n"/>
      <c r="T188" s="328" t="n"/>
      <c r="U188" s="85" t="n"/>
      <c r="V188" s="85" t="n"/>
      <c r="W188" s="211" t="n"/>
      <c r="X188" s="210" t="n"/>
      <c r="Y188" s="210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</row>
    <row r="189" ht="24" customHeight="1">
      <c r="A189" s="282" t="inlineStr">
        <is>
          <t>P019</t>
        </is>
      </c>
      <c r="B189" s="283" t="n">
        <v>2</v>
      </c>
      <c r="C189" s="283" t="inlineStr">
        <is>
          <t>方法A</t>
        </is>
      </c>
      <c r="D189" s="283" t="inlineStr">
        <is>
          <t>One-Euro</t>
        </is>
      </c>
      <c r="E189" s="284" t="n"/>
      <c r="F189" s="284" t="n"/>
      <c r="G189" s="285" t="n"/>
      <c r="H189" s="284" t="n"/>
      <c r="I189" s="285" t="n"/>
      <c r="J189" s="284" t="n"/>
      <c r="K189" s="284" t="n"/>
      <c r="L189" s="285" t="n"/>
      <c r="M189" s="284" t="n"/>
      <c r="N189" s="285" t="n"/>
      <c r="O189" s="284" t="n"/>
      <c r="P189" s="284" t="n"/>
      <c r="Q189" s="284" t="n"/>
      <c r="R189" s="284" t="n"/>
      <c r="S189" s="330" t="n"/>
      <c r="T189" s="330" t="n"/>
      <c r="U189" s="284" t="n"/>
      <c r="V189" s="284" t="n"/>
      <c r="W189" s="284" t="n"/>
      <c r="X189" s="210" t="n"/>
      <c r="Y189" s="210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</row>
    <row r="190" ht="24" customHeight="1">
      <c r="A190" s="65" t="inlineStr">
        <is>
          <t>P020</t>
        </is>
      </c>
      <c r="B190" s="96" t="n">
        <v>1</v>
      </c>
      <c r="C190" s="96" t="inlineStr">
        <is>
          <t>方法A</t>
        </is>
      </c>
      <c r="D190" s="96" t="inlineStr">
        <is>
          <t>One-Euro</t>
        </is>
      </c>
      <c r="E190" s="85" t="n"/>
      <c r="F190" s="85" t="n"/>
      <c r="G190" s="75" t="n"/>
      <c r="H190" s="85" t="n"/>
      <c r="I190" s="75" t="n"/>
      <c r="J190" s="85" t="n"/>
      <c r="K190" s="85" t="n"/>
      <c r="L190" s="75" t="n"/>
      <c r="M190" s="85" t="n"/>
      <c r="N190" s="75" t="n"/>
      <c r="O190" s="85" t="n"/>
      <c r="P190" s="85" t="n"/>
      <c r="Q190" s="85" t="n"/>
      <c r="R190" s="85" t="n"/>
      <c r="S190" s="328" t="n"/>
      <c r="T190" s="328" t="n"/>
      <c r="U190" s="85" t="n"/>
      <c r="V190" s="85" t="n"/>
      <c r="W190" s="211" t="n"/>
      <c r="X190" s="210" t="n"/>
      <c r="Y190" s="210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</row>
    <row r="191" ht="24" customHeight="1">
      <c r="A191" s="282" t="inlineStr">
        <is>
          <t>P020</t>
        </is>
      </c>
      <c r="B191" s="283" t="n">
        <v>2</v>
      </c>
      <c r="C191" s="283" t="inlineStr">
        <is>
          <t>方法B</t>
        </is>
      </c>
      <c r="D191" s="283" t="inlineStr">
        <is>
          <t>EgoAnchor</t>
        </is>
      </c>
      <c r="E191" s="284" t="n"/>
      <c r="F191" s="284" t="n"/>
      <c r="G191" s="285" t="n"/>
      <c r="H191" s="284" t="n"/>
      <c r="I191" s="285" t="n"/>
      <c r="J191" s="284" t="n"/>
      <c r="K191" s="284" t="n"/>
      <c r="L191" s="285" t="n"/>
      <c r="M191" s="284" t="n"/>
      <c r="N191" s="285" t="n"/>
      <c r="O191" s="284" t="n"/>
      <c r="P191" s="284" t="n"/>
      <c r="Q191" s="284" t="n"/>
      <c r="R191" s="284" t="n"/>
      <c r="S191" s="330" t="n"/>
      <c r="T191" s="330" t="n"/>
      <c r="U191" s="284" t="n"/>
      <c r="V191" s="284" t="n"/>
      <c r="W191" s="284" t="n"/>
      <c r="X191" s="210" t="n"/>
      <c r="Y191" s="210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</row>
    <row r="192" ht="24" customHeight="1">
      <c r="A192" s="65" t="inlineStr">
        <is>
          <t>P021</t>
        </is>
      </c>
      <c r="B192" s="96" t="n">
        <v>1</v>
      </c>
      <c r="C192" s="96" t="inlineStr">
        <is>
          <t>方法A</t>
        </is>
      </c>
      <c r="D192" s="96" t="inlineStr">
        <is>
          <t>EgoAnchor</t>
        </is>
      </c>
      <c r="E192" s="85" t="n"/>
      <c r="F192" s="85" t="n"/>
      <c r="G192" s="75" t="n"/>
      <c r="H192" s="85" t="n"/>
      <c r="I192" s="75" t="n"/>
      <c r="J192" s="85" t="n"/>
      <c r="K192" s="85" t="n"/>
      <c r="L192" s="75" t="n"/>
      <c r="M192" s="85" t="n"/>
      <c r="N192" s="75" t="n"/>
      <c r="O192" s="85" t="n"/>
      <c r="P192" s="85" t="n"/>
      <c r="Q192" s="85" t="n"/>
      <c r="R192" s="85" t="n"/>
      <c r="S192" s="328" t="n"/>
      <c r="T192" s="328" t="n"/>
      <c r="U192" s="85" t="n"/>
      <c r="V192" s="85" t="n"/>
      <c r="W192" s="211" t="n"/>
      <c r="X192" s="210" t="n"/>
      <c r="Y192" s="210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</row>
    <row r="193" ht="24" customHeight="1">
      <c r="A193" s="282" t="inlineStr">
        <is>
          <t>P021</t>
        </is>
      </c>
      <c r="B193" s="283" t="n">
        <v>2</v>
      </c>
      <c r="C193" s="283" t="inlineStr">
        <is>
          <t>方法B</t>
        </is>
      </c>
      <c r="D193" s="283" t="inlineStr">
        <is>
          <t>One-Euro</t>
        </is>
      </c>
      <c r="E193" s="284" t="n"/>
      <c r="F193" s="284" t="n"/>
      <c r="G193" s="285" t="n"/>
      <c r="H193" s="284" t="n"/>
      <c r="I193" s="285" t="n"/>
      <c r="J193" s="284" t="n"/>
      <c r="K193" s="284" t="n"/>
      <c r="L193" s="285" t="n"/>
      <c r="M193" s="284" t="n"/>
      <c r="N193" s="285" t="n"/>
      <c r="O193" s="284" t="n"/>
      <c r="P193" s="284" t="n"/>
      <c r="Q193" s="284" t="n"/>
      <c r="R193" s="284" t="n"/>
      <c r="S193" s="330" t="n"/>
      <c r="T193" s="330" t="n"/>
      <c r="U193" s="284" t="n"/>
      <c r="V193" s="284" t="n"/>
      <c r="W193" s="284" t="n"/>
      <c r="X193" s="210" t="n"/>
      <c r="Y193" s="210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</row>
    <row r="194" ht="24" customHeight="1">
      <c r="A194" s="65" t="inlineStr">
        <is>
          <t>P022</t>
        </is>
      </c>
      <c r="B194" s="96" t="n">
        <v>1</v>
      </c>
      <c r="C194" s="96" t="inlineStr">
        <is>
          <t>方法B</t>
        </is>
      </c>
      <c r="D194" s="96" t="inlineStr">
        <is>
          <t>One-Euro</t>
        </is>
      </c>
      <c r="E194" s="85" t="n"/>
      <c r="F194" s="85" t="n"/>
      <c r="G194" s="75" t="n"/>
      <c r="H194" s="85" t="n"/>
      <c r="I194" s="75" t="n"/>
      <c r="J194" s="85" t="n"/>
      <c r="K194" s="85" t="n"/>
      <c r="L194" s="75" t="n"/>
      <c r="M194" s="85" t="n"/>
      <c r="N194" s="75" t="n"/>
      <c r="O194" s="85" t="n"/>
      <c r="P194" s="85" t="n"/>
      <c r="Q194" s="85" t="n"/>
      <c r="R194" s="85" t="n"/>
      <c r="S194" s="328" t="n"/>
      <c r="T194" s="328" t="n"/>
      <c r="U194" s="85" t="n"/>
      <c r="V194" s="85" t="n"/>
      <c r="W194" s="211" t="n"/>
      <c r="X194" s="210" t="n"/>
      <c r="Y194" s="210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</row>
    <row r="195" ht="24" customHeight="1">
      <c r="A195" s="282" t="inlineStr">
        <is>
          <t>P022</t>
        </is>
      </c>
      <c r="B195" s="283" t="n">
        <v>2</v>
      </c>
      <c r="C195" s="283" t="inlineStr">
        <is>
          <t>方法A</t>
        </is>
      </c>
      <c r="D195" s="283" t="inlineStr">
        <is>
          <t>EgoAnchor</t>
        </is>
      </c>
      <c r="E195" s="284" t="n"/>
      <c r="F195" s="284" t="n"/>
      <c r="G195" s="285" t="n"/>
      <c r="H195" s="284" t="n"/>
      <c r="I195" s="285" t="n"/>
      <c r="J195" s="284" t="n"/>
      <c r="K195" s="284" t="n"/>
      <c r="L195" s="285" t="n"/>
      <c r="M195" s="284" t="n"/>
      <c r="N195" s="285" t="n"/>
      <c r="O195" s="284" t="n"/>
      <c r="P195" s="284" t="n"/>
      <c r="Q195" s="284" t="n"/>
      <c r="R195" s="284" t="n"/>
      <c r="S195" s="330" t="n"/>
      <c r="T195" s="330" t="n"/>
      <c r="U195" s="284" t="n"/>
      <c r="V195" s="284" t="n"/>
      <c r="W195" s="284" t="n"/>
      <c r="X195" s="210" t="n"/>
      <c r="Y195" s="210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</row>
    <row r="196" ht="24" customHeight="1">
      <c r="A196" s="65" t="inlineStr">
        <is>
          <t>P023</t>
        </is>
      </c>
      <c r="B196" s="96" t="n">
        <v>1</v>
      </c>
      <c r="C196" s="96" t="inlineStr">
        <is>
          <t>方法B</t>
        </is>
      </c>
      <c r="D196" s="96" t="inlineStr">
        <is>
          <t>EgoAnchor</t>
        </is>
      </c>
      <c r="E196" s="85" t="n"/>
      <c r="F196" s="85" t="n"/>
      <c r="G196" s="75" t="n"/>
      <c r="H196" s="85" t="n"/>
      <c r="I196" s="75" t="n"/>
      <c r="J196" s="85" t="n"/>
      <c r="K196" s="85" t="n"/>
      <c r="L196" s="75" t="n"/>
      <c r="M196" s="85" t="n"/>
      <c r="N196" s="75" t="n"/>
      <c r="O196" s="85" t="n"/>
      <c r="P196" s="85" t="n"/>
      <c r="Q196" s="85" t="n"/>
      <c r="R196" s="85" t="n"/>
      <c r="S196" s="328" t="n"/>
      <c r="T196" s="328" t="n"/>
      <c r="U196" s="85" t="n"/>
      <c r="V196" s="85" t="n"/>
      <c r="W196" s="211" t="n"/>
      <c r="X196" s="210" t="n"/>
      <c r="Y196" s="210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</row>
    <row r="197" ht="24" customHeight="1">
      <c r="A197" s="282" t="inlineStr">
        <is>
          <t>P023</t>
        </is>
      </c>
      <c r="B197" s="283" t="n">
        <v>2</v>
      </c>
      <c r="C197" s="283" t="inlineStr">
        <is>
          <t>方法A</t>
        </is>
      </c>
      <c r="D197" s="283" t="inlineStr">
        <is>
          <t>One-Euro</t>
        </is>
      </c>
      <c r="E197" s="284" t="n"/>
      <c r="F197" s="284" t="n"/>
      <c r="G197" s="285" t="n"/>
      <c r="H197" s="284" t="n"/>
      <c r="I197" s="285" t="n"/>
      <c r="J197" s="284" t="n"/>
      <c r="K197" s="284" t="n"/>
      <c r="L197" s="285" t="n"/>
      <c r="M197" s="284" t="n"/>
      <c r="N197" s="285" t="n"/>
      <c r="O197" s="284" t="n"/>
      <c r="P197" s="284" t="n"/>
      <c r="Q197" s="284" t="n"/>
      <c r="R197" s="284" t="n"/>
      <c r="S197" s="330" t="n"/>
      <c r="T197" s="330" t="n"/>
      <c r="U197" s="284" t="n"/>
      <c r="V197" s="284" t="n"/>
      <c r="W197" s="284" t="n"/>
      <c r="X197" s="210" t="n"/>
      <c r="Y197" s="210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</row>
    <row r="198" ht="24" customHeight="1">
      <c r="A198" s="65" t="inlineStr">
        <is>
          <t>P024</t>
        </is>
      </c>
      <c r="B198" s="96" t="n">
        <v>1</v>
      </c>
      <c r="C198" s="96" t="inlineStr">
        <is>
          <t>方法A</t>
        </is>
      </c>
      <c r="D198" s="96" t="inlineStr">
        <is>
          <t>One-Euro</t>
        </is>
      </c>
      <c r="E198" s="85" t="n"/>
      <c r="F198" s="85" t="n"/>
      <c r="G198" s="75" t="n"/>
      <c r="H198" s="85" t="n"/>
      <c r="I198" s="75" t="n"/>
      <c r="J198" s="85" t="n"/>
      <c r="K198" s="85" t="n"/>
      <c r="L198" s="75" t="n"/>
      <c r="M198" s="85" t="n"/>
      <c r="N198" s="75" t="n"/>
      <c r="O198" s="85" t="n"/>
      <c r="P198" s="85" t="n"/>
      <c r="Q198" s="85" t="n"/>
      <c r="R198" s="85" t="n"/>
      <c r="S198" s="328" t="n"/>
      <c r="T198" s="328" t="n"/>
      <c r="U198" s="85" t="n"/>
      <c r="V198" s="85" t="n"/>
      <c r="W198" s="211" t="n"/>
      <c r="X198" s="210" t="n"/>
      <c r="Y198" s="210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</row>
    <row r="199" ht="24" customHeight="1">
      <c r="A199" s="282" t="inlineStr">
        <is>
          <t>P024</t>
        </is>
      </c>
      <c r="B199" s="283" t="n">
        <v>2</v>
      </c>
      <c r="C199" s="283" t="inlineStr">
        <is>
          <t>方法B</t>
        </is>
      </c>
      <c r="D199" s="283" t="inlineStr">
        <is>
          <t>EgoAnchor</t>
        </is>
      </c>
      <c r="E199" s="284" t="n"/>
      <c r="F199" s="284" t="n"/>
      <c r="G199" s="285" t="n"/>
      <c r="H199" s="284" t="n"/>
      <c r="I199" s="285" t="n"/>
      <c r="J199" s="284" t="n"/>
      <c r="K199" s="284" t="n"/>
      <c r="L199" s="285" t="n"/>
      <c r="M199" s="284" t="n"/>
      <c r="N199" s="285" t="n"/>
      <c r="O199" s="284" t="n"/>
      <c r="P199" s="284" t="n"/>
      <c r="Q199" s="284" t="n"/>
      <c r="R199" s="284" t="n"/>
      <c r="S199" s="330" t="n"/>
      <c r="T199" s="330" t="n"/>
      <c r="U199" s="284" t="n"/>
      <c r="V199" s="284" t="n"/>
      <c r="W199" s="284" t="n"/>
      <c r="X199" s="210" t="n"/>
      <c r="Y199" s="210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</row>
    <row r="201" ht="38" customHeight="1">
      <c r="A201" s="73" t="inlineStr">
        <is>
          <t>C. 最终问卷记录（摘下头显后；解码列离场后由分析代码按 Participants 映射填写）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</row>
    <row r="202" ht="38" customHeight="1">
      <c r="A202" s="38" t="inlineStr">
        <is>
          <t>Participant_ID</t>
        </is>
      </c>
      <c r="B202" s="39" t="inlineStr">
        <is>
          <t>方法选择(标签)</t>
        </is>
      </c>
      <c r="C202" s="39" t="inlineStr">
        <is>
          <t>偏好强度(1-7/NA)</t>
        </is>
      </c>
      <c r="D202" s="39" t="inlineStr">
        <is>
          <t>信任选择(标签)</t>
        </is>
      </c>
      <c r="E202" s="39" t="inlineStr">
        <is>
          <t>区分信心(1-7)</t>
        </is>
      </c>
      <c r="F202" s="39" t="inlineStr">
        <is>
          <t>开放:最明显区别</t>
        </is>
      </c>
      <c r="G202" s="39" t="inlineStr">
        <is>
          <t>开放:最破坏信任的现象</t>
        </is>
      </c>
      <c r="H202" s="39" t="inlineStr">
        <is>
          <t>结束不适</t>
        </is>
      </c>
      <c r="I202" s="39" t="inlineStr">
        <is>
          <t>方法选择(解码)</t>
        </is>
      </c>
      <c r="J202" s="39" t="inlineStr">
        <is>
          <t>信任选择(解码)</t>
        </is>
      </c>
      <c r="K202" s="40" t="inlineStr">
        <is>
          <t>访谈备注</t>
        </is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</row>
    <row r="203" ht="30" customHeight="1">
      <c r="A203" s="64" t="inlineStr">
        <is>
          <t>P001</t>
        </is>
      </c>
      <c r="B203" s="84" t="n"/>
      <c r="C203" s="84" t="n"/>
      <c r="D203" s="84" t="n"/>
      <c r="E203" s="84" t="n"/>
      <c r="F203" s="84" t="n"/>
      <c r="G203" s="84" t="n"/>
      <c r="H203" s="84" t="n"/>
      <c r="I203" s="221" t="n"/>
      <c r="J203" s="221" t="n"/>
      <c r="K203" s="210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</row>
    <row r="204" ht="30" customHeight="1">
      <c r="A204" s="65" t="inlineStr">
        <is>
          <t>P002</t>
        </is>
      </c>
      <c r="B204" s="85" t="n"/>
      <c r="C204" s="85" t="n"/>
      <c r="D204" s="85" t="n"/>
      <c r="E204" s="85" t="n"/>
      <c r="F204" s="85" t="n"/>
      <c r="G204" s="85" t="n"/>
      <c r="H204" s="85" t="n"/>
      <c r="I204" s="79" t="n"/>
      <c r="J204" s="79" t="n"/>
      <c r="K204" s="211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</row>
    <row r="205" ht="30" customHeight="1">
      <c r="A205" s="65" t="inlineStr">
        <is>
          <t>P003</t>
        </is>
      </c>
      <c r="B205" s="85" t="n"/>
      <c r="C205" s="85" t="n"/>
      <c r="D205" s="85" t="n"/>
      <c r="E205" s="85" t="n"/>
      <c r="F205" s="85" t="n"/>
      <c r="G205" s="85" t="n"/>
      <c r="H205" s="85" t="n"/>
      <c r="I205" s="79" t="n"/>
      <c r="J205" s="79" t="n"/>
      <c r="K205" s="211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</row>
    <row r="206" ht="30" customHeight="1">
      <c r="A206" s="65" t="inlineStr">
        <is>
          <t>P004</t>
        </is>
      </c>
      <c r="B206" s="85" t="n"/>
      <c r="C206" s="85" t="n"/>
      <c r="D206" s="85" t="n"/>
      <c r="E206" s="85" t="n"/>
      <c r="F206" s="85" t="n"/>
      <c r="G206" s="85" t="n"/>
      <c r="H206" s="85" t="n"/>
      <c r="I206" s="79" t="n"/>
      <c r="J206" s="79" t="n"/>
      <c r="K206" s="211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</row>
    <row r="207" ht="30" customHeight="1">
      <c r="A207" s="65" t="inlineStr">
        <is>
          <t>P005</t>
        </is>
      </c>
      <c r="B207" s="85" t="n"/>
      <c r="C207" s="85" t="n"/>
      <c r="D207" s="85" t="n"/>
      <c r="E207" s="85" t="n"/>
      <c r="F207" s="85" t="n"/>
      <c r="G207" s="85" t="n"/>
      <c r="H207" s="85" t="n"/>
      <c r="I207" s="79" t="n"/>
      <c r="J207" s="79" t="n"/>
      <c r="K207" s="211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</row>
    <row r="208" ht="30" customHeight="1">
      <c r="A208" s="65" t="inlineStr">
        <is>
          <t>P006</t>
        </is>
      </c>
      <c r="B208" s="85" t="n"/>
      <c r="C208" s="85" t="n"/>
      <c r="D208" s="85" t="n"/>
      <c r="E208" s="85" t="n"/>
      <c r="F208" s="85" t="n"/>
      <c r="G208" s="85" t="n"/>
      <c r="H208" s="85" t="n"/>
      <c r="I208" s="79" t="n"/>
      <c r="J208" s="79" t="n"/>
      <c r="K208" s="211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</row>
    <row r="209" ht="30" customHeight="1">
      <c r="A209" s="65" t="inlineStr">
        <is>
          <t>P007</t>
        </is>
      </c>
      <c r="B209" s="85" t="n"/>
      <c r="C209" s="85" t="n"/>
      <c r="D209" s="85" t="n"/>
      <c r="E209" s="85" t="n"/>
      <c r="F209" s="85" t="n"/>
      <c r="G209" s="85" t="n"/>
      <c r="H209" s="85" t="n"/>
      <c r="I209" s="79" t="n"/>
      <c r="J209" s="79" t="n"/>
      <c r="K209" s="211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</row>
    <row r="210" ht="30" customHeight="1">
      <c r="A210" s="65" t="inlineStr">
        <is>
          <t>P008</t>
        </is>
      </c>
      <c r="B210" s="85" t="n"/>
      <c r="C210" s="85" t="n"/>
      <c r="D210" s="85" t="n"/>
      <c r="E210" s="85" t="n"/>
      <c r="F210" s="85" t="n"/>
      <c r="G210" s="85" t="n"/>
      <c r="H210" s="85" t="n"/>
      <c r="I210" s="79" t="n"/>
      <c r="J210" s="79" t="n"/>
      <c r="K210" s="211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</row>
    <row r="211" ht="30" customHeight="1">
      <c r="A211" s="65" t="inlineStr">
        <is>
          <t>P009</t>
        </is>
      </c>
      <c r="B211" s="85" t="n"/>
      <c r="C211" s="85" t="n"/>
      <c r="D211" s="85" t="n"/>
      <c r="E211" s="85" t="n"/>
      <c r="F211" s="85" t="n"/>
      <c r="G211" s="85" t="n"/>
      <c r="H211" s="85" t="n"/>
      <c r="I211" s="79" t="n"/>
      <c r="J211" s="79" t="n"/>
      <c r="K211" s="211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</row>
    <row r="212" ht="30" customHeight="1">
      <c r="A212" s="65" t="inlineStr">
        <is>
          <t>P010</t>
        </is>
      </c>
      <c r="B212" s="85" t="n"/>
      <c r="C212" s="85" t="n"/>
      <c r="D212" s="85" t="n"/>
      <c r="E212" s="85" t="n"/>
      <c r="F212" s="85" t="n"/>
      <c r="G212" s="85" t="n"/>
      <c r="H212" s="85" t="n"/>
      <c r="I212" s="79" t="n"/>
      <c r="J212" s="79" t="n"/>
      <c r="K212" s="211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</row>
    <row r="213" ht="30" customHeight="1">
      <c r="A213" s="65" t="inlineStr">
        <is>
          <t>P011</t>
        </is>
      </c>
      <c r="B213" s="85" t="n"/>
      <c r="C213" s="85" t="n"/>
      <c r="D213" s="85" t="n"/>
      <c r="E213" s="85" t="n"/>
      <c r="F213" s="85" t="n"/>
      <c r="G213" s="85" t="n"/>
      <c r="H213" s="85" t="n"/>
      <c r="I213" s="79" t="n"/>
      <c r="J213" s="79" t="n"/>
      <c r="K213" s="211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</row>
    <row r="214" ht="30" customHeight="1">
      <c r="A214" s="65" t="inlineStr">
        <is>
          <t>P012</t>
        </is>
      </c>
      <c r="B214" s="85" t="n"/>
      <c r="C214" s="85" t="n"/>
      <c r="D214" s="85" t="n"/>
      <c r="E214" s="85" t="n"/>
      <c r="F214" s="85" t="n"/>
      <c r="G214" s="85" t="n"/>
      <c r="H214" s="85" t="n"/>
      <c r="I214" s="79" t="n"/>
      <c r="J214" s="79" t="n"/>
      <c r="K214" s="211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</row>
    <row r="215" ht="30" customHeight="1">
      <c r="A215" s="65" t="inlineStr">
        <is>
          <t>P013</t>
        </is>
      </c>
      <c r="B215" s="85" t="n"/>
      <c r="C215" s="85" t="n"/>
      <c r="D215" s="85" t="n"/>
      <c r="E215" s="85" t="n"/>
      <c r="F215" s="85" t="n"/>
      <c r="G215" s="85" t="n"/>
      <c r="H215" s="85" t="n"/>
      <c r="I215" s="79" t="n"/>
      <c r="J215" s="79" t="n"/>
      <c r="K215" s="211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</row>
    <row r="216" ht="30" customHeight="1">
      <c r="A216" s="65" t="inlineStr">
        <is>
          <t>P014</t>
        </is>
      </c>
      <c r="B216" s="85" t="n"/>
      <c r="C216" s="85" t="n"/>
      <c r="D216" s="85" t="n"/>
      <c r="E216" s="85" t="n"/>
      <c r="F216" s="85" t="n"/>
      <c r="G216" s="85" t="n"/>
      <c r="H216" s="85" t="n"/>
      <c r="I216" s="79" t="n"/>
      <c r="J216" s="79" t="n"/>
      <c r="K216" s="211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</row>
    <row r="217" ht="30" customHeight="1">
      <c r="A217" s="65" t="inlineStr">
        <is>
          <t>P015</t>
        </is>
      </c>
      <c r="B217" s="85" t="n"/>
      <c r="C217" s="85" t="n"/>
      <c r="D217" s="85" t="n"/>
      <c r="E217" s="85" t="n"/>
      <c r="F217" s="85" t="n"/>
      <c r="G217" s="85" t="n"/>
      <c r="H217" s="85" t="n"/>
      <c r="I217" s="79" t="n"/>
      <c r="J217" s="79" t="n"/>
      <c r="K217" s="211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</row>
    <row r="218" ht="30" customHeight="1">
      <c r="A218" s="65" t="inlineStr">
        <is>
          <t>P016</t>
        </is>
      </c>
      <c r="B218" s="85" t="n"/>
      <c r="C218" s="85" t="n"/>
      <c r="D218" s="85" t="n"/>
      <c r="E218" s="85" t="n"/>
      <c r="F218" s="85" t="n"/>
      <c r="G218" s="85" t="n"/>
      <c r="H218" s="85" t="n"/>
      <c r="I218" s="79" t="n"/>
      <c r="J218" s="79" t="n"/>
      <c r="K218" s="211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</row>
    <row r="219" ht="30" customHeight="1">
      <c r="A219" s="65" t="inlineStr">
        <is>
          <t>P017</t>
        </is>
      </c>
      <c r="B219" s="85" t="n"/>
      <c r="C219" s="85" t="n"/>
      <c r="D219" s="85" t="n"/>
      <c r="E219" s="85" t="n"/>
      <c r="F219" s="85" t="n"/>
      <c r="G219" s="85" t="n"/>
      <c r="H219" s="85" t="n"/>
      <c r="I219" s="79" t="n"/>
      <c r="J219" s="79" t="n"/>
      <c r="K219" s="211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</row>
    <row r="220" ht="30" customHeight="1">
      <c r="A220" s="65" t="inlineStr">
        <is>
          <t>P018</t>
        </is>
      </c>
      <c r="B220" s="85" t="n"/>
      <c r="C220" s="85" t="n"/>
      <c r="D220" s="85" t="n"/>
      <c r="E220" s="85" t="n"/>
      <c r="F220" s="85" t="n"/>
      <c r="G220" s="85" t="n"/>
      <c r="H220" s="85" t="n"/>
      <c r="I220" s="79" t="n"/>
      <c r="J220" s="79" t="n"/>
      <c r="K220" s="211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</row>
    <row r="221" ht="30" customHeight="1">
      <c r="A221" s="65" t="inlineStr">
        <is>
          <t>P019</t>
        </is>
      </c>
      <c r="B221" s="85" t="n"/>
      <c r="C221" s="85" t="n"/>
      <c r="D221" s="85" t="n"/>
      <c r="E221" s="85" t="n"/>
      <c r="F221" s="85" t="n"/>
      <c r="G221" s="85" t="n"/>
      <c r="H221" s="85" t="n"/>
      <c r="I221" s="79" t="n"/>
      <c r="J221" s="79" t="n"/>
      <c r="K221" s="211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</row>
    <row r="222" ht="30" customHeight="1">
      <c r="A222" s="65" t="inlineStr">
        <is>
          <t>P020</t>
        </is>
      </c>
      <c r="B222" s="85" t="n"/>
      <c r="C222" s="85" t="n"/>
      <c r="D222" s="85" t="n"/>
      <c r="E222" s="85" t="n"/>
      <c r="F222" s="85" t="n"/>
      <c r="G222" s="85" t="n"/>
      <c r="H222" s="85" t="n"/>
      <c r="I222" s="79" t="n"/>
      <c r="J222" s="79" t="n"/>
      <c r="K222" s="211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</row>
    <row r="223" ht="30" customHeight="1">
      <c r="A223" s="65" t="inlineStr">
        <is>
          <t>P021</t>
        </is>
      </c>
      <c r="B223" s="85" t="n"/>
      <c r="C223" s="85" t="n"/>
      <c r="D223" s="85" t="n"/>
      <c r="E223" s="85" t="n"/>
      <c r="F223" s="85" t="n"/>
      <c r="G223" s="85" t="n"/>
      <c r="H223" s="85" t="n"/>
      <c r="I223" s="79" t="n"/>
      <c r="J223" s="79" t="n"/>
      <c r="K223" s="211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</row>
    <row r="224" ht="30" customHeight="1">
      <c r="A224" s="65" t="inlineStr">
        <is>
          <t>P022</t>
        </is>
      </c>
      <c r="B224" s="85" t="n"/>
      <c r="C224" s="85" t="n"/>
      <c r="D224" s="85" t="n"/>
      <c r="E224" s="85" t="n"/>
      <c r="F224" s="85" t="n"/>
      <c r="G224" s="85" t="n"/>
      <c r="H224" s="85" t="n"/>
      <c r="I224" s="79" t="n"/>
      <c r="J224" s="79" t="n"/>
      <c r="K224" s="211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</row>
    <row r="225" ht="30" customHeight="1">
      <c r="A225" s="65" t="inlineStr">
        <is>
          <t>P023</t>
        </is>
      </c>
      <c r="B225" s="85" t="n"/>
      <c r="C225" s="85" t="n"/>
      <c r="D225" s="85" t="n"/>
      <c r="E225" s="85" t="n"/>
      <c r="F225" s="85" t="n"/>
      <c r="G225" s="85" t="n"/>
      <c r="H225" s="85" t="n"/>
      <c r="I225" s="79" t="n"/>
      <c r="J225" s="79" t="n"/>
      <c r="K225" s="211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</row>
    <row r="226" ht="30" customHeight="1">
      <c r="A226" s="66" t="inlineStr">
        <is>
          <t>P024</t>
        </is>
      </c>
      <c r="B226" s="85" t="n"/>
      <c r="C226" s="85" t="n"/>
      <c r="D226" s="85" t="n"/>
      <c r="E226" s="85" t="n"/>
      <c r="F226" s="85" t="n"/>
      <c r="G226" s="85" t="n"/>
      <c r="H226" s="85" t="n"/>
      <c r="I226" s="79" t="n"/>
      <c r="J226" s="79" t="n"/>
      <c r="K226" s="211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</row>
  </sheetData>
  <mergeCells count="4">
    <mergeCell ref="A1:AO1"/>
    <mergeCell ref="A3:AO3"/>
    <mergeCell ref="A201:AO201"/>
    <mergeCell ref="A150:AO150"/>
  </mergeCells>
  <conditionalFormatting sqref="AB5:AD148">
    <cfRule type="expression" priority="1" dxfId="0">
      <formula>AB5="是"</formula>
    </cfRule>
    <cfRule type="expression" priority="2" dxfId="1">
      <formula>AB5="否"</formula>
    </cfRule>
  </conditionalFormatting>
  <conditionalFormatting sqref="R152:R199">
    <cfRule type="expression" priority="3" dxfId="0">
      <formula>R152="是"</formula>
    </cfRule>
    <cfRule type="expression" priority="4" dxfId="1">
      <formula>R152="否"</formula>
    </cfRule>
  </conditionalFormatting>
  <dataValidations count="24">
    <dataValidation sqref="K5:M148" showDropDown="0" showInputMessage="0" showErrorMessage="1" allowBlank="0" errorTitle="评分范围错误" error="请输入 1–7 的整数" type="whole" operator="between">
      <formula1>1</formula1>
      <formula2>7</formula2>
    </dataValidation>
    <dataValidation sqref="O5:X148" showDropDown="0" showInputMessage="0" showErrorMessage="1" allowBlank="0" errorTitle="评分范围错误" error="请输入 1–7 的整数" type="whole" operator="between">
      <formula1>1</formula1>
      <formula2>7</formula2>
    </dataValidation>
    <dataValidation sqref="N5:N148" showDropDown="0" showInputMessage="0" showErrorMessage="1" allowBlank="1" errorTitle="评分范围错误" error="请输入 1–7 的整数，或留空" type="whole" operator="between">
      <formula1>1</formula1>
      <formula2>7</formula2>
    </dataValidation>
    <dataValidation sqref="AB5:AD148" showDropDown="0" showInputMessage="0" showErrorMessage="1" allowBlank="0" errorTitle="选项错误" error="请从下拉列表中选择" type="list">
      <formula1>"是,否"</formula1>
    </dataValidation>
    <dataValidation sqref="AL5:AL148" showDropDown="0" showInputMessage="0" showErrorMessage="1" allowBlank="0" errorTitle="选项错误" error="请从下拉列表中选择" type="list">
      <formula1>"是,否"</formula1>
    </dataValidation>
    <dataValidation sqref="R152:R199" showDropDown="0" showInputMessage="0" showErrorMessage="1" allowBlank="0" errorTitle="选项错误" error="请从下拉列表中选择" type="list">
      <formula1>"是,否"</formula1>
    </dataValidation>
    <dataValidation sqref="X152:Y199" showDropDown="0" showInputMessage="0" showErrorMessage="1" allowBlank="0" errorTitle="选项错误" error="请从下拉列表中选择" type="list">
      <formula1>"是,否"</formula1>
    </dataValidation>
    <dataValidation sqref="AE5:AE148" showDropDown="0" showInputMessage="0" showErrorMessage="1" allowBlank="1" errorTitle="选项错误" error="请从下拉列表中选择" type="list">
      <formula1>"无,设备故障,网络故障,追踪异常,问卷中断,其他"</formula1>
    </dataValidation>
    <dataValidation sqref="AK5:AK148" showDropDown="0" showInputMessage="0" showErrorMessage="1" allowBlank="1" errorTitle="选项错误" error="请从下拉列表中选择" type="list">
      <formula1>"Coasting,FrozenUncertain,Lost,不适用"</formula1>
    </dataValidation>
    <dataValidation sqref="V152:V199" showDropDown="0" showInputMessage="0" showErrorMessage="1" allowBlank="1" errorTitle="选项错误" error="请从下拉列表中选择" type="list">
      <formula1>"无,设备故障,问卷中断,尺度误用,其他"</formula1>
    </dataValidation>
    <dataValidation sqref="E152:N199" showDropDown="0" showInputMessage="0" showErrorMessage="1" allowBlank="1" errorTitle="评分范围错误" error="请输入 1–5 的整数、无法回答，或留空" type="custom">
      <formula1>=OR(E152="",E152="无法回答",AND(ISNUMBER(E152),E152&gt;=1,E152&lt;=5,MOD(E152,1)=0))</formula1>
    </dataValidation>
    <dataValidation sqref="O152:Q199" showDropDown="0" showInputMessage="0" showErrorMessage="1" allowBlank="1" errorTitle="评分范围错误" error="请输入 1–7 的整数、无法回答，或留空" type="custom">
      <formula1>=OR(O152="",O152="无法回答",AND(ISNUMBER(O152),O152&gt;=1,O152&lt;=7,MOD(O152,1)=0))</formula1>
    </dataValidation>
    <dataValidation sqref="B203:B226" showDropDown="0" showInputMessage="0" showErrorMessage="1" allowBlank="0" errorTitle="选项错误" error="请从下拉列表中选择" type="list">
      <formula1>"方法A,方法B,无明显偏好"</formula1>
    </dataValidation>
    <dataValidation sqref="D203:D226" showDropDown="0" showInputMessage="0" showErrorMessage="1" allowBlank="0" errorTitle="选项错误" error="请从下拉列表中选择" type="list">
      <formula1>"方法A,方法B,无明显偏好"</formula1>
    </dataValidation>
    <dataValidation sqref="H203:H226" showDropDown="0" showInputMessage="0" showErrorMessage="1" allowBlank="1" errorTitle="选项错误" error="请从下拉列表中选择" type="list">
      <formula1>"无,轻微,中等,明显,因不适中止"</formula1>
    </dataValidation>
    <dataValidation sqref="C203:C226" showDropDown="0" showInputMessage="0" showErrorMessage="1" allowBlank="1" errorTitle="偏好强度错误" error="请输入 1–7 的整数；无明显偏好时填 N/A 或留空" type="custom">
      <formula1>=OR(C203="",C203="N/A",AND(ISNUMBER(C203),C203&gt;=1,C203&lt;=7,MOD(C203,1)=0))</formula1>
    </dataValidation>
    <dataValidation sqref="E203:E226" showDropDown="0" showInputMessage="0" showErrorMessage="1" allowBlank="0" errorTitle="评分范围错误" error="请输入 1–7 的整数" type="whole" operator="between">
      <formula1>1</formula1>
      <formula2>7</formula2>
    </dataValidation>
    <dataValidation sqref="AF5:AF148" showDropDown="0" showInputMessage="0" showErrorMessage="1" allowBlank="1" errorTitle="数值范围错误" error="请输入大于  0 的数值，或暂时留空" type="custom">
      <formula1>=OR(AF5="",AND(ISNUMBER(AF5),AF5&gt;0))</formula1>
    </dataValidation>
    <dataValidation sqref="AG5:AG148" showDropDown="0" showInputMessage="0" showErrorMessage="1" allowBlank="1" errorTitle="数值范围错误" error="请输入大于等于  0 且不超过 1 的数值，或暂时留空" type="custom">
      <formula1>=OR(AG5="",AND(ISNUMBER(AG5),AG5&gt;=0,AG5&lt;=1))</formula1>
    </dataValidation>
    <dataValidation sqref="AH5:AH148" showDropDown="0" showInputMessage="0" showErrorMessage="1" allowBlank="1" errorTitle="数值范围错误" error="请输入大于等于  0 且不超过 1 的数值，或暂时留空" type="custom">
      <formula1>=OR(AH5="",AND(ISNUMBER(AH5),AH5&gt;=0,AH5&lt;=1))</formula1>
    </dataValidation>
    <dataValidation sqref="AI5:AI148" showDropDown="0" showInputMessage="0" showErrorMessage="1" allowBlank="1" errorTitle="数值范围错误" error="请输入大于等于  0 且不超过 1 的数值，或暂时留空" type="custom">
      <formula1>=OR(AI5="",AND(ISNUMBER(AI5),AI5&gt;=0,AI5&lt;=1))</formula1>
    </dataValidation>
    <dataValidation sqref="AJ5:AJ148" showDropDown="0" showInputMessage="0" showErrorMessage="1" allowBlank="1" errorTitle="数值范围错误" error="请输入大于  0 的数值，或暂时留空" type="custom">
      <formula1>=OR(AJ5="",AND(ISNUMBER(AJ5),AJ5&gt;0))</formula1>
    </dataValidation>
    <dataValidation sqref="AM5:AM148" showDropDown="0" showInputMessage="0" showErrorMessage="1" allowBlank="1" errorTitle="评分范围错误" error="请输入 0–1000000 的整数，或留空" type="whole" operator="between">
      <formula1>0</formula1>
      <formula2>1000000</formula2>
    </dataValidation>
    <dataValidation sqref="AN5:AN148" showDropDown="0" showInputMessage="0" showErrorMessage="1" allowBlank="1" errorTitle="评分范围错误" error="请输入 0–1000000 的整数，或留空" type="whole" operator="between">
      <formula1>0</formula1>
      <formula2>1000000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8" customHeight="1">
      <c r="A1" s="331" t="inlineStr">
        <is>
          <t>实时派生（仅公式）：区块有效性与 AQ → TiA 换向与方法分 → 三物体均值 → 配对差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" customHeight="1">
      <c r="A2" s="332" t="inlineStr">
        <is>
          <t>本表无需填写，也不是实施检查表。D1 计算区块与 AQ；D2 换向 TiA 并计算方法级小分；D3 形成每人每方法的三物体均值；D4 计算 EgoAnchor-One-Euro 配对差；D5 审计最终问卷；D6 派生论文参与者概况。正式分析不读取这些公式缓存。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3" customHeight="1">
      <c r="A3" s="333" t="inlineStr">
        <is>
          <t>D1. 区块级派生：144 行与 Records A 段逐行对应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0" customHeight="1">
      <c r="A4" s="334" t="inlineStr">
        <is>
          <t>Participant_ID</t>
        </is>
      </c>
      <c r="B4" s="334" t="inlineStr">
        <is>
          <t>Block_Index</t>
        </is>
      </c>
      <c r="C4" s="334" t="inlineStr">
        <is>
          <t>Condition</t>
        </is>
      </c>
      <c r="D4" s="334" t="inlineStr">
        <is>
          <t>Object_Key</t>
        </is>
      </c>
      <c r="E4" s="334" t="inlineStr">
        <is>
          <t>Valid_Block</t>
        </is>
      </c>
      <c r="F4" s="334" t="inlineStr">
        <is>
          <t>Q1</t>
        </is>
      </c>
      <c r="G4" s="334" t="inlineStr">
        <is>
          <t>Q8</t>
        </is>
      </c>
      <c r="H4" s="334" t="inlineStr">
        <is>
          <t>Q2</t>
        </is>
      </c>
      <c r="I4" s="334" t="inlineStr">
        <is>
          <t>Q9</t>
        </is>
      </c>
      <c r="J4" s="334" t="inlineStr">
        <is>
          <t>Q3</t>
        </is>
      </c>
      <c r="K4" s="334" t="inlineStr">
        <is>
          <t>Q6</t>
        </is>
      </c>
      <c r="L4" s="334" t="inlineStr">
        <is>
          <t>Q7</t>
        </is>
      </c>
      <c r="M4" s="334" t="inlineStr">
        <is>
          <t>AQ_EQ</t>
        </is>
      </c>
      <c r="N4" s="334" t="inlineStr">
        <is>
          <t>AQ_IQ</t>
        </is>
      </c>
      <c r="O4" s="334" t="inlineStr">
        <is>
          <t>Q10</t>
        </is>
      </c>
      <c r="P4" s="334" t="inlineStr">
        <is>
          <t>Duration_Over_150s</t>
        </is>
      </c>
      <c r="Q4" s="334" t="inlineStr">
        <is>
          <t>Straightline_5Plus</t>
        </is>
      </c>
      <c r="R4" s="334" t="inlineStr">
        <is>
          <t>Candidate_Rate_Hz</t>
        </is>
      </c>
      <c r="S4" s="334" t="inlineStr">
        <is>
          <t>VCD_Median</t>
        </is>
      </c>
      <c r="T4" s="334" t="inlineStr">
        <is>
          <t>VCD_Admission_Rate</t>
        </is>
      </c>
      <c r="U4" s="334" t="inlineStr">
        <is>
          <t>Output_Availability</t>
        </is>
      </c>
      <c r="V4" s="334" t="inlineStr">
        <is>
          <t>Occlusion_Seconds</t>
        </is>
      </c>
      <c r="W4" s="334" t="inlineStr">
        <is>
          <t>Lifecycle_State</t>
        </is>
      </c>
      <c r="X4" s="334" t="inlineStr">
        <is>
          <t>Entered_Lost</t>
        </is>
      </c>
      <c r="Y4" s="334" t="inlineStr">
        <is>
          <t>Reacquisition_Count</t>
        </is>
      </c>
      <c r="Z4" s="334" t="inlineStr">
        <is>
          <t>StaticLock_Count</t>
        </is>
      </c>
    </row>
    <row r="5">
      <c r="A5" s="335">
        <f>IF(Records!A5="","",Records!A5)</f>
        <v/>
      </c>
      <c r="B5" s="335">
        <f>IF(Records!B5="","",Records!B5)</f>
        <v/>
      </c>
      <c r="C5" s="336">
        <f>IF(Records!H5="","",Records!H5)</f>
        <v/>
      </c>
      <c r="D5" s="336">
        <f>IF(Records!F5="","",Records!F5)</f>
        <v/>
      </c>
      <c r="E5" s="337">
        <f>IF(AND(COUNTIFS(Participants!$A$3:$A$26,Records!A5,Participants!$V$3:$V$26,"是")=1,Records!AB5="是",Records!AC5="是",Records!AD5="是",COUNT(Records!K5,Records!L5,Records!M5,Records!O5,Records!P5,Records!Q5,Records!R5,Records!S5,Records!T5,Records!U5,Records!V5,Records!W5,Records!X5)=13),"是","否")</f>
        <v/>
      </c>
      <c r="F5" s="336">
        <f>IF(Records!K5="","",Records!K5)</f>
        <v/>
      </c>
      <c r="G5" s="336">
        <f>IF(Records!R5="","",Records!R5)</f>
        <v/>
      </c>
      <c r="H5" s="336">
        <f>IF(Records!L5="","",Records!L5)</f>
        <v/>
      </c>
      <c r="I5" s="336">
        <f>IF(Records!M5="","",Records!M5)</f>
        <v/>
      </c>
      <c r="J5" s="336">
        <f>IF(Records!Q5="","",Records!Q5)</f>
        <v/>
      </c>
      <c r="K5" s="336">
        <f>IF(Records!W5="","",Records!W5)</f>
        <v/>
      </c>
      <c r="L5" s="336">
        <f>IF(Records!X5="","",Records!X5)</f>
        <v/>
      </c>
      <c r="M5" s="336">
        <f>IF(COUNT(Records!S5,Records!T5,Records!U5)=3,AVERAGE(Records!S5,Records!T5,Records!U5),"")</f>
        <v/>
      </c>
      <c r="N5" s="336">
        <f>IF(COUNT(Records!V5,Records!O5,Records!P5)=3,AVERAGE(Records!V5,Records!O5,Records!P5),"")</f>
        <v/>
      </c>
      <c r="O5" s="336">
        <f>IF(Records!N5="","",Records!N5)</f>
        <v/>
      </c>
      <c r="P5" s="337">
        <f>IF(Records!AA5="","",IF(Records!AA5&gt;150,"是","否"))</f>
        <v/>
      </c>
      <c r="Q5" s="337">
        <f>IF(COUNT(Records!K5,Records!L5,Records!M5,Records!O5,Records!P5,Records!Q5,Records!R5,Records!S5,Records!T5,Records!U5,Records!V5,Records!W5,Records!X5)&lt;13,"",IF(OR(AND(Records!K5=Records!L5,Records!L5=Records!M5,Records!M5=Records!O5,Records!O5=Records!P5),AND(Records!L5=Records!M5,Records!M5=Records!O5,Records!O5=Records!P5,Records!P5=Records!Q5),AND(Records!M5=Records!O5,Records!O5=Records!P5,Records!P5=Records!Q5,Records!Q5=Records!R5),AND(Records!O5=Records!P5,Records!P5=Records!Q5,Records!Q5=Records!R5,Records!R5=Records!S5),AND(Records!P5=Records!Q5,Records!Q5=Records!R5,Records!R5=Records!S5,Records!S5=Records!T5),AND(Records!Q5=Records!R5,Records!R5=Records!S5,Records!S5=Records!T5,Records!T5=Records!U5),AND(Records!R5=Records!S5,Records!S5=Records!T5,Records!T5=Records!U5,Records!U5=Records!V5),AND(Records!S5=Records!T5,Records!T5=Records!U5,Records!U5=Records!V5,Records!V5=Records!W5),AND(Records!T5=Records!U5,Records!U5=Records!V5,Records!V5=Records!W5,Records!W5=Records!X5)),"是","否"))</f>
        <v/>
      </c>
      <c r="R5" s="336">
        <f>IF(Records!AF5="","",Records!AF5)</f>
        <v/>
      </c>
      <c r="S5" s="336">
        <f>IF(Records!AG5="","",Records!AG5)</f>
        <v/>
      </c>
      <c r="T5" s="336">
        <f>IF(Records!AH5="","",Records!AH5)</f>
        <v/>
      </c>
      <c r="U5" s="336">
        <f>IF(Records!AI5="","",Records!AI5)</f>
        <v/>
      </c>
      <c r="V5" s="336">
        <f>IF(Records!AJ5="","",Records!AJ5)</f>
        <v/>
      </c>
      <c r="W5" s="336">
        <f>IF(Records!AK5="","",Records!AK5)</f>
        <v/>
      </c>
      <c r="X5" s="336">
        <f>IF(Records!AL5="","",Records!AL5)</f>
        <v/>
      </c>
      <c r="Y5" s="336">
        <f>IF(Records!AM5="","",Records!AM5)</f>
        <v/>
      </c>
      <c r="Z5" s="336">
        <f>IF(Records!AN5="","",Records!AN5)</f>
        <v/>
      </c>
    </row>
    <row r="6">
      <c r="A6" s="335">
        <f>IF(Records!A6="","",Records!A6)</f>
        <v/>
      </c>
      <c r="B6" s="335">
        <f>IF(Records!B6="","",Records!B6)</f>
        <v/>
      </c>
      <c r="C6" s="336">
        <f>IF(Records!H6="","",Records!H6)</f>
        <v/>
      </c>
      <c r="D6" s="336">
        <f>IF(Records!F6="","",Records!F6)</f>
        <v/>
      </c>
      <c r="E6" s="337">
        <f>IF(AND(COUNTIFS(Participants!$A$3:$A$26,Records!A6,Participants!$V$3:$V$26,"是")=1,Records!AB6="是",Records!AC6="是",Records!AD6="是",COUNT(Records!K6,Records!L6,Records!M6,Records!O6,Records!P6,Records!Q6,Records!R6,Records!S6,Records!T6,Records!U6,Records!V6,Records!W6,Records!X6)=13),"是","否")</f>
        <v/>
      </c>
      <c r="F6" s="336">
        <f>IF(Records!K6="","",Records!K6)</f>
        <v/>
      </c>
      <c r="G6" s="336">
        <f>IF(Records!R6="","",Records!R6)</f>
        <v/>
      </c>
      <c r="H6" s="336">
        <f>IF(Records!L6="","",Records!L6)</f>
        <v/>
      </c>
      <c r="I6" s="336">
        <f>IF(Records!M6="","",Records!M6)</f>
        <v/>
      </c>
      <c r="J6" s="336">
        <f>IF(Records!Q6="","",Records!Q6)</f>
        <v/>
      </c>
      <c r="K6" s="336">
        <f>IF(Records!W6="","",Records!W6)</f>
        <v/>
      </c>
      <c r="L6" s="336">
        <f>IF(Records!X6="","",Records!X6)</f>
        <v/>
      </c>
      <c r="M6" s="336">
        <f>IF(COUNT(Records!S6,Records!T6,Records!U6)=3,AVERAGE(Records!S6,Records!T6,Records!U6),"")</f>
        <v/>
      </c>
      <c r="N6" s="336">
        <f>IF(COUNT(Records!V6,Records!O6,Records!P6)=3,AVERAGE(Records!V6,Records!O6,Records!P6),"")</f>
        <v/>
      </c>
      <c r="O6" s="336">
        <f>IF(Records!N6="","",Records!N6)</f>
        <v/>
      </c>
      <c r="P6" s="337">
        <f>IF(Records!AA6="","",IF(Records!AA6&gt;150,"是","否"))</f>
        <v/>
      </c>
      <c r="Q6" s="337">
        <f>IF(COUNT(Records!K6,Records!L6,Records!M6,Records!O6,Records!P6,Records!Q6,Records!R6,Records!S6,Records!T6,Records!U6,Records!V6,Records!W6,Records!X6)&lt;13,"",IF(OR(AND(Records!K6=Records!L6,Records!L6=Records!M6,Records!M6=Records!O6,Records!O6=Records!P6),AND(Records!L6=Records!M6,Records!M6=Records!O6,Records!O6=Records!P6,Records!P6=Records!Q6),AND(Records!M6=Records!O6,Records!O6=Records!P6,Records!P6=Records!Q6,Records!Q6=Records!R6),AND(Records!O6=Records!P6,Records!P6=Records!Q6,Records!Q6=Records!R6,Records!R6=Records!S6),AND(Records!P6=Records!Q6,Records!Q6=Records!R6,Records!R6=Records!S6,Records!S6=Records!T6),AND(Records!Q6=Records!R6,Records!R6=Records!S6,Records!S6=Records!T6,Records!T6=Records!U6),AND(Records!R6=Records!S6,Records!S6=Records!T6,Records!T6=Records!U6,Records!U6=Records!V6),AND(Records!S6=Records!T6,Records!T6=Records!U6,Records!U6=Records!V6,Records!V6=Records!W6),AND(Records!T6=Records!U6,Records!U6=Records!V6,Records!V6=Records!W6,Records!W6=Records!X6)),"是","否"))</f>
        <v/>
      </c>
      <c r="R6" s="336">
        <f>IF(Records!AF6="","",Records!AF6)</f>
        <v/>
      </c>
      <c r="S6" s="336">
        <f>IF(Records!AG6="","",Records!AG6)</f>
        <v/>
      </c>
      <c r="T6" s="336">
        <f>IF(Records!AH6="","",Records!AH6)</f>
        <v/>
      </c>
      <c r="U6" s="336">
        <f>IF(Records!AI6="","",Records!AI6)</f>
        <v/>
      </c>
      <c r="V6" s="336">
        <f>IF(Records!AJ6="","",Records!AJ6)</f>
        <v/>
      </c>
      <c r="W6" s="336">
        <f>IF(Records!AK6="","",Records!AK6)</f>
        <v/>
      </c>
      <c r="X6" s="336">
        <f>IF(Records!AL6="","",Records!AL6)</f>
        <v/>
      </c>
      <c r="Y6" s="336">
        <f>IF(Records!AM6="","",Records!AM6)</f>
        <v/>
      </c>
      <c r="Z6" s="336">
        <f>IF(Records!AN6="","",Records!AN6)</f>
        <v/>
      </c>
    </row>
    <row r="7">
      <c r="A7" s="335">
        <f>IF(Records!A7="","",Records!A7)</f>
        <v/>
      </c>
      <c r="B7" s="335">
        <f>IF(Records!B7="","",Records!B7)</f>
        <v/>
      </c>
      <c r="C7" s="336">
        <f>IF(Records!H7="","",Records!H7)</f>
        <v/>
      </c>
      <c r="D7" s="336">
        <f>IF(Records!F7="","",Records!F7)</f>
        <v/>
      </c>
      <c r="E7" s="337">
        <f>IF(AND(COUNTIFS(Participants!$A$3:$A$26,Records!A7,Participants!$V$3:$V$26,"是")=1,Records!AB7="是",Records!AC7="是",Records!AD7="是",COUNT(Records!K7,Records!L7,Records!M7,Records!O7,Records!P7,Records!Q7,Records!R7,Records!S7,Records!T7,Records!U7,Records!V7,Records!W7,Records!X7)=13),"是","否")</f>
        <v/>
      </c>
      <c r="F7" s="336">
        <f>IF(Records!K7="","",Records!K7)</f>
        <v/>
      </c>
      <c r="G7" s="336">
        <f>IF(Records!R7="","",Records!R7)</f>
        <v/>
      </c>
      <c r="H7" s="336">
        <f>IF(Records!L7="","",Records!L7)</f>
        <v/>
      </c>
      <c r="I7" s="336">
        <f>IF(Records!M7="","",Records!M7)</f>
        <v/>
      </c>
      <c r="J7" s="336">
        <f>IF(Records!Q7="","",Records!Q7)</f>
        <v/>
      </c>
      <c r="K7" s="336">
        <f>IF(Records!W7="","",Records!W7)</f>
        <v/>
      </c>
      <c r="L7" s="336">
        <f>IF(Records!X7="","",Records!X7)</f>
        <v/>
      </c>
      <c r="M7" s="336">
        <f>IF(COUNT(Records!S7,Records!T7,Records!U7)=3,AVERAGE(Records!S7,Records!T7,Records!U7),"")</f>
        <v/>
      </c>
      <c r="N7" s="336">
        <f>IF(COUNT(Records!V7,Records!O7,Records!P7)=3,AVERAGE(Records!V7,Records!O7,Records!P7),"")</f>
        <v/>
      </c>
      <c r="O7" s="336">
        <f>IF(Records!N7="","",Records!N7)</f>
        <v/>
      </c>
      <c r="P7" s="337">
        <f>IF(Records!AA7="","",IF(Records!AA7&gt;150,"是","否"))</f>
        <v/>
      </c>
      <c r="Q7" s="337">
        <f>IF(COUNT(Records!K7,Records!L7,Records!M7,Records!O7,Records!P7,Records!Q7,Records!R7,Records!S7,Records!T7,Records!U7,Records!V7,Records!W7,Records!X7)&lt;13,"",IF(OR(AND(Records!K7=Records!L7,Records!L7=Records!M7,Records!M7=Records!O7,Records!O7=Records!P7),AND(Records!L7=Records!M7,Records!M7=Records!O7,Records!O7=Records!P7,Records!P7=Records!Q7),AND(Records!M7=Records!O7,Records!O7=Records!P7,Records!P7=Records!Q7,Records!Q7=Records!R7),AND(Records!O7=Records!P7,Records!P7=Records!Q7,Records!Q7=Records!R7,Records!R7=Records!S7),AND(Records!P7=Records!Q7,Records!Q7=Records!R7,Records!R7=Records!S7,Records!S7=Records!T7),AND(Records!Q7=Records!R7,Records!R7=Records!S7,Records!S7=Records!T7,Records!T7=Records!U7),AND(Records!R7=Records!S7,Records!S7=Records!T7,Records!T7=Records!U7,Records!U7=Records!V7),AND(Records!S7=Records!T7,Records!T7=Records!U7,Records!U7=Records!V7,Records!V7=Records!W7),AND(Records!T7=Records!U7,Records!U7=Records!V7,Records!V7=Records!W7,Records!W7=Records!X7)),"是","否"))</f>
        <v/>
      </c>
      <c r="R7" s="336">
        <f>IF(Records!AF7="","",Records!AF7)</f>
        <v/>
      </c>
      <c r="S7" s="336">
        <f>IF(Records!AG7="","",Records!AG7)</f>
        <v/>
      </c>
      <c r="T7" s="336">
        <f>IF(Records!AH7="","",Records!AH7)</f>
        <v/>
      </c>
      <c r="U7" s="336">
        <f>IF(Records!AI7="","",Records!AI7)</f>
        <v/>
      </c>
      <c r="V7" s="336">
        <f>IF(Records!AJ7="","",Records!AJ7)</f>
        <v/>
      </c>
      <c r="W7" s="336">
        <f>IF(Records!AK7="","",Records!AK7)</f>
        <v/>
      </c>
      <c r="X7" s="336">
        <f>IF(Records!AL7="","",Records!AL7)</f>
        <v/>
      </c>
      <c r="Y7" s="336">
        <f>IF(Records!AM7="","",Records!AM7)</f>
        <v/>
      </c>
      <c r="Z7" s="336">
        <f>IF(Records!AN7="","",Records!AN7)</f>
        <v/>
      </c>
    </row>
    <row r="8">
      <c r="A8" s="335">
        <f>IF(Records!A8="","",Records!A8)</f>
        <v/>
      </c>
      <c r="B8" s="335">
        <f>IF(Records!B8="","",Records!B8)</f>
        <v/>
      </c>
      <c r="C8" s="336">
        <f>IF(Records!H8="","",Records!H8)</f>
        <v/>
      </c>
      <c r="D8" s="336">
        <f>IF(Records!F8="","",Records!F8)</f>
        <v/>
      </c>
      <c r="E8" s="337">
        <f>IF(AND(COUNTIFS(Participants!$A$3:$A$26,Records!A8,Participants!$V$3:$V$26,"是")=1,Records!AB8="是",Records!AC8="是",Records!AD8="是",COUNT(Records!K8,Records!L8,Records!M8,Records!O8,Records!P8,Records!Q8,Records!R8,Records!S8,Records!T8,Records!U8,Records!V8,Records!W8,Records!X8)=13),"是","否")</f>
        <v/>
      </c>
      <c r="F8" s="336">
        <f>IF(Records!K8="","",Records!K8)</f>
        <v/>
      </c>
      <c r="G8" s="336">
        <f>IF(Records!R8="","",Records!R8)</f>
        <v/>
      </c>
      <c r="H8" s="336">
        <f>IF(Records!L8="","",Records!L8)</f>
        <v/>
      </c>
      <c r="I8" s="336">
        <f>IF(Records!M8="","",Records!M8)</f>
        <v/>
      </c>
      <c r="J8" s="336">
        <f>IF(Records!Q8="","",Records!Q8)</f>
        <v/>
      </c>
      <c r="K8" s="336">
        <f>IF(Records!W8="","",Records!W8)</f>
        <v/>
      </c>
      <c r="L8" s="336">
        <f>IF(Records!X8="","",Records!X8)</f>
        <v/>
      </c>
      <c r="M8" s="336">
        <f>IF(COUNT(Records!S8,Records!T8,Records!U8)=3,AVERAGE(Records!S8,Records!T8,Records!U8),"")</f>
        <v/>
      </c>
      <c r="N8" s="336">
        <f>IF(COUNT(Records!V8,Records!O8,Records!P8)=3,AVERAGE(Records!V8,Records!O8,Records!P8),"")</f>
        <v/>
      </c>
      <c r="O8" s="336">
        <f>IF(Records!N8="","",Records!N8)</f>
        <v/>
      </c>
      <c r="P8" s="337">
        <f>IF(Records!AA8="","",IF(Records!AA8&gt;150,"是","否"))</f>
        <v/>
      </c>
      <c r="Q8" s="337">
        <f>IF(COUNT(Records!K8,Records!L8,Records!M8,Records!O8,Records!P8,Records!Q8,Records!R8,Records!S8,Records!T8,Records!U8,Records!V8,Records!W8,Records!X8)&lt;13,"",IF(OR(AND(Records!K8=Records!L8,Records!L8=Records!M8,Records!M8=Records!O8,Records!O8=Records!P8),AND(Records!L8=Records!M8,Records!M8=Records!O8,Records!O8=Records!P8,Records!P8=Records!Q8),AND(Records!M8=Records!O8,Records!O8=Records!P8,Records!P8=Records!Q8,Records!Q8=Records!R8),AND(Records!O8=Records!P8,Records!P8=Records!Q8,Records!Q8=Records!R8,Records!R8=Records!S8),AND(Records!P8=Records!Q8,Records!Q8=Records!R8,Records!R8=Records!S8,Records!S8=Records!T8),AND(Records!Q8=Records!R8,Records!R8=Records!S8,Records!S8=Records!T8,Records!T8=Records!U8),AND(Records!R8=Records!S8,Records!S8=Records!T8,Records!T8=Records!U8,Records!U8=Records!V8),AND(Records!S8=Records!T8,Records!T8=Records!U8,Records!U8=Records!V8,Records!V8=Records!W8),AND(Records!T8=Records!U8,Records!U8=Records!V8,Records!V8=Records!W8,Records!W8=Records!X8)),"是","否"))</f>
        <v/>
      </c>
      <c r="R8" s="336">
        <f>IF(Records!AF8="","",Records!AF8)</f>
        <v/>
      </c>
      <c r="S8" s="336">
        <f>IF(Records!AG8="","",Records!AG8)</f>
        <v/>
      </c>
      <c r="T8" s="336">
        <f>IF(Records!AH8="","",Records!AH8)</f>
        <v/>
      </c>
      <c r="U8" s="336">
        <f>IF(Records!AI8="","",Records!AI8)</f>
        <v/>
      </c>
      <c r="V8" s="336">
        <f>IF(Records!AJ8="","",Records!AJ8)</f>
        <v/>
      </c>
      <c r="W8" s="336">
        <f>IF(Records!AK8="","",Records!AK8)</f>
        <v/>
      </c>
      <c r="X8" s="336">
        <f>IF(Records!AL8="","",Records!AL8)</f>
        <v/>
      </c>
      <c r="Y8" s="336">
        <f>IF(Records!AM8="","",Records!AM8)</f>
        <v/>
      </c>
      <c r="Z8" s="336">
        <f>IF(Records!AN8="","",Records!AN8)</f>
        <v/>
      </c>
    </row>
    <row r="9">
      <c r="A9" s="335">
        <f>IF(Records!A9="","",Records!A9)</f>
        <v/>
      </c>
      <c r="B9" s="335">
        <f>IF(Records!B9="","",Records!B9)</f>
        <v/>
      </c>
      <c r="C9" s="336">
        <f>IF(Records!H9="","",Records!H9)</f>
        <v/>
      </c>
      <c r="D9" s="336">
        <f>IF(Records!F9="","",Records!F9)</f>
        <v/>
      </c>
      <c r="E9" s="337">
        <f>IF(AND(COUNTIFS(Participants!$A$3:$A$26,Records!A9,Participants!$V$3:$V$26,"是")=1,Records!AB9="是",Records!AC9="是",Records!AD9="是",COUNT(Records!K9,Records!L9,Records!M9,Records!O9,Records!P9,Records!Q9,Records!R9,Records!S9,Records!T9,Records!U9,Records!V9,Records!W9,Records!X9)=13),"是","否")</f>
        <v/>
      </c>
      <c r="F9" s="336">
        <f>IF(Records!K9="","",Records!K9)</f>
        <v/>
      </c>
      <c r="G9" s="336">
        <f>IF(Records!R9="","",Records!R9)</f>
        <v/>
      </c>
      <c r="H9" s="336">
        <f>IF(Records!L9="","",Records!L9)</f>
        <v/>
      </c>
      <c r="I9" s="336">
        <f>IF(Records!M9="","",Records!M9)</f>
        <v/>
      </c>
      <c r="J9" s="336">
        <f>IF(Records!Q9="","",Records!Q9)</f>
        <v/>
      </c>
      <c r="K9" s="336">
        <f>IF(Records!W9="","",Records!W9)</f>
        <v/>
      </c>
      <c r="L9" s="336">
        <f>IF(Records!X9="","",Records!X9)</f>
        <v/>
      </c>
      <c r="M9" s="336">
        <f>IF(COUNT(Records!S9,Records!T9,Records!U9)=3,AVERAGE(Records!S9,Records!T9,Records!U9),"")</f>
        <v/>
      </c>
      <c r="N9" s="336">
        <f>IF(COUNT(Records!V9,Records!O9,Records!P9)=3,AVERAGE(Records!V9,Records!O9,Records!P9),"")</f>
        <v/>
      </c>
      <c r="O9" s="336">
        <f>IF(Records!N9="","",Records!N9)</f>
        <v/>
      </c>
      <c r="P9" s="337">
        <f>IF(Records!AA9="","",IF(Records!AA9&gt;150,"是","否"))</f>
        <v/>
      </c>
      <c r="Q9" s="337">
        <f>IF(COUNT(Records!K9,Records!L9,Records!M9,Records!O9,Records!P9,Records!Q9,Records!R9,Records!S9,Records!T9,Records!U9,Records!V9,Records!W9,Records!X9)&lt;13,"",IF(OR(AND(Records!K9=Records!L9,Records!L9=Records!M9,Records!M9=Records!O9,Records!O9=Records!P9),AND(Records!L9=Records!M9,Records!M9=Records!O9,Records!O9=Records!P9,Records!P9=Records!Q9),AND(Records!M9=Records!O9,Records!O9=Records!P9,Records!P9=Records!Q9,Records!Q9=Records!R9),AND(Records!O9=Records!P9,Records!P9=Records!Q9,Records!Q9=Records!R9,Records!R9=Records!S9),AND(Records!P9=Records!Q9,Records!Q9=Records!R9,Records!R9=Records!S9,Records!S9=Records!T9),AND(Records!Q9=Records!R9,Records!R9=Records!S9,Records!S9=Records!T9,Records!T9=Records!U9),AND(Records!R9=Records!S9,Records!S9=Records!T9,Records!T9=Records!U9,Records!U9=Records!V9),AND(Records!S9=Records!T9,Records!T9=Records!U9,Records!U9=Records!V9,Records!V9=Records!W9),AND(Records!T9=Records!U9,Records!U9=Records!V9,Records!V9=Records!W9,Records!W9=Records!X9)),"是","否"))</f>
        <v/>
      </c>
      <c r="R9" s="336">
        <f>IF(Records!AF9="","",Records!AF9)</f>
        <v/>
      </c>
      <c r="S9" s="336">
        <f>IF(Records!AG9="","",Records!AG9)</f>
        <v/>
      </c>
      <c r="T9" s="336">
        <f>IF(Records!AH9="","",Records!AH9)</f>
        <v/>
      </c>
      <c r="U9" s="336">
        <f>IF(Records!AI9="","",Records!AI9)</f>
        <v/>
      </c>
      <c r="V9" s="336">
        <f>IF(Records!AJ9="","",Records!AJ9)</f>
        <v/>
      </c>
      <c r="W9" s="336">
        <f>IF(Records!AK9="","",Records!AK9)</f>
        <v/>
      </c>
      <c r="X9" s="336">
        <f>IF(Records!AL9="","",Records!AL9)</f>
        <v/>
      </c>
      <c r="Y9" s="336">
        <f>IF(Records!AM9="","",Records!AM9)</f>
        <v/>
      </c>
      <c r="Z9" s="336">
        <f>IF(Records!AN9="","",Records!AN9)</f>
        <v/>
      </c>
    </row>
    <row r="10">
      <c r="A10" s="335">
        <f>IF(Records!A10="","",Records!A10)</f>
        <v/>
      </c>
      <c r="B10" s="335">
        <f>IF(Records!B10="","",Records!B10)</f>
        <v/>
      </c>
      <c r="C10" s="336">
        <f>IF(Records!H10="","",Records!H10)</f>
        <v/>
      </c>
      <c r="D10" s="336">
        <f>IF(Records!F10="","",Records!F10)</f>
        <v/>
      </c>
      <c r="E10" s="337">
        <f>IF(AND(COUNTIFS(Participants!$A$3:$A$26,Records!A10,Participants!$V$3:$V$26,"是")=1,Records!AB10="是",Records!AC10="是",Records!AD10="是",COUNT(Records!K10,Records!L10,Records!M10,Records!O10,Records!P10,Records!Q10,Records!R10,Records!S10,Records!T10,Records!U10,Records!V10,Records!W10,Records!X10)=13),"是","否")</f>
        <v/>
      </c>
      <c r="F10" s="336">
        <f>IF(Records!K10="","",Records!K10)</f>
        <v/>
      </c>
      <c r="G10" s="336">
        <f>IF(Records!R10="","",Records!R10)</f>
        <v/>
      </c>
      <c r="H10" s="336">
        <f>IF(Records!L10="","",Records!L10)</f>
        <v/>
      </c>
      <c r="I10" s="336">
        <f>IF(Records!M10="","",Records!M10)</f>
        <v/>
      </c>
      <c r="J10" s="336">
        <f>IF(Records!Q10="","",Records!Q10)</f>
        <v/>
      </c>
      <c r="K10" s="336">
        <f>IF(Records!W10="","",Records!W10)</f>
        <v/>
      </c>
      <c r="L10" s="336">
        <f>IF(Records!X10="","",Records!X10)</f>
        <v/>
      </c>
      <c r="M10" s="336">
        <f>IF(COUNT(Records!S10,Records!T10,Records!U10)=3,AVERAGE(Records!S10,Records!T10,Records!U10),"")</f>
        <v/>
      </c>
      <c r="N10" s="336">
        <f>IF(COUNT(Records!V10,Records!O10,Records!P10)=3,AVERAGE(Records!V10,Records!O10,Records!P10),"")</f>
        <v/>
      </c>
      <c r="O10" s="336">
        <f>IF(Records!N10="","",Records!N10)</f>
        <v/>
      </c>
      <c r="P10" s="337">
        <f>IF(Records!AA10="","",IF(Records!AA10&gt;150,"是","否"))</f>
        <v/>
      </c>
      <c r="Q10" s="337">
        <f>IF(COUNT(Records!K10,Records!L10,Records!M10,Records!O10,Records!P10,Records!Q10,Records!R10,Records!S10,Records!T10,Records!U10,Records!V10,Records!W10,Records!X10)&lt;13,"",IF(OR(AND(Records!K10=Records!L10,Records!L10=Records!M10,Records!M10=Records!O10,Records!O10=Records!P10),AND(Records!L10=Records!M10,Records!M10=Records!O10,Records!O10=Records!P10,Records!P10=Records!Q10),AND(Records!M10=Records!O10,Records!O10=Records!P10,Records!P10=Records!Q10,Records!Q10=Records!R10),AND(Records!O10=Records!P10,Records!P10=Records!Q10,Records!Q10=Records!R10,Records!R10=Records!S10),AND(Records!P10=Records!Q10,Records!Q10=Records!R10,Records!R10=Records!S10,Records!S10=Records!T10),AND(Records!Q10=Records!R10,Records!R10=Records!S10,Records!S10=Records!T10,Records!T10=Records!U10),AND(Records!R10=Records!S10,Records!S10=Records!T10,Records!T10=Records!U10,Records!U10=Records!V10),AND(Records!S10=Records!T10,Records!T10=Records!U10,Records!U10=Records!V10,Records!V10=Records!W10),AND(Records!T10=Records!U10,Records!U10=Records!V10,Records!V10=Records!W10,Records!W10=Records!X10)),"是","否"))</f>
        <v/>
      </c>
      <c r="R10" s="336">
        <f>IF(Records!AF10="","",Records!AF10)</f>
        <v/>
      </c>
      <c r="S10" s="336">
        <f>IF(Records!AG10="","",Records!AG10)</f>
        <v/>
      </c>
      <c r="T10" s="336">
        <f>IF(Records!AH10="","",Records!AH10)</f>
        <v/>
      </c>
      <c r="U10" s="336">
        <f>IF(Records!AI10="","",Records!AI10)</f>
        <v/>
      </c>
      <c r="V10" s="336">
        <f>IF(Records!AJ10="","",Records!AJ10)</f>
        <v/>
      </c>
      <c r="W10" s="336">
        <f>IF(Records!AK10="","",Records!AK10)</f>
        <v/>
      </c>
      <c r="X10" s="336">
        <f>IF(Records!AL10="","",Records!AL10)</f>
        <v/>
      </c>
      <c r="Y10" s="336">
        <f>IF(Records!AM10="","",Records!AM10)</f>
        <v/>
      </c>
      <c r="Z10" s="336">
        <f>IF(Records!AN10="","",Records!AN10)</f>
        <v/>
      </c>
    </row>
    <row r="11">
      <c r="A11" s="335">
        <f>IF(Records!A11="","",Records!A11)</f>
        <v/>
      </c>
      <c r="B11" s="335">
        <f>IF(Records!B11="","",Records!B11)</f>
        <v/>
      </c>
      <c r="C11" s="336">
        <f>IF(Records!H11="","",Records!H11)</f>
        <v/>
      </c>
      <c r="D11" s="336">
        <f>IF(Records!F11="","",Records!F11)</f>
        <v/>
      </c>
      <c r="E11" s="337">
        <f>IF(AND(COUNTIFS(Participants!$A$3:$A$26,Records!A11,Participants!$V$3:$V$26,"是")=1,Records!AB11="是",Records!AC11="是",Records!AD11="是",COUNT(Records!K11,Records!L11,Records!M11,Records!O11,Records!P11,Records!Q11,Records!R11,Records!S11,Records!T11,Records!U11,Records!V11,Records!W11,Records!X11)=13),"是","否")</f>
        <v/>
      </c>
      <c r="F11" s="336">
        <f>IF(Records!K11="","",Records!K11)</f>
        <v/>
      </c>
      <c r="G11" s="336">
        <f>IF(Records!R11="","",Records!R11)</f>
        <v/>
      </c>
      <c r="H11" s="336">
        <f>IF(Records!L11="","",Records!L11)</f>
        <v/>
      </c>
      <c r="I11" s="336">
        <f>IF(Records!M11="","",Records!M11)</f>
        <v/>
      </c>
      <c r="J11" s="336">
        <f>IF(Records!Q11="","",Records!Q11)</f>
        <v/>
      </c>
      <c r="K11" s="336">
        <f>IF(Records!W11="","",Records!W11)</f>
        <v/>
      </c>
      <c r="L11" s="336">
        <f>IF(Records!X11="","",Records!X11)</f>
        <v/>
      </c>
      <c r="M11" s="336">
        <f>IF(COUNT(Records!S11,Records!T11,Records!U11)=3,AVERAGE(Records!S11,Records!T11,Records!U11),"")</f>
        <v/>
      </c>
      <c r="N11" s="336">
        <f>IF(COUNT(Records!V11,Records!O11,Records!P11)=3,AVERAGE(Records!V11,Records!O11,Records!P11),"")</f>
        <v/>
      </c>
      <c r="O11" s="336">
        <f>IF(Records!N11="","",Records!N11)</f>
        <v/>
      </c>
      <c r="P11" s="337">
        <f>IF(Records!AA11="","",IF(Records!AA11&gt;150,"是","否"))</f>
        <v/>
      </c>
      <c r="Q11" s="337">
        <f>IF(COUNT(Records!K11,Records!L11,Records!M11,Records!O11,Records!P11,Records!Q11,Records!R11,Records!S11,Records!T11,Records!U11,Records!V11,Records!W11,Records!X11)&lt;13,"",IF(OR(AND(Records!K11=Records!L11,Records!L11=Records!M11,Records!M11=Records!O11,Records!O11=Records!P11),AND(Records!L11=Records!M11,Records!M11=Records!O11,Records!O11=Records!P11,Records!P11=Records!Q11),AND(Records!M11=Records!O11,Records!O11=Records!P11,Records!P11=Records!Q11,Records!Q11=Records!R11),AND(Records!O11=Records!P11,Records!P11=Records!Q11,Records!Q11=Records!R11,Records!R11=Records!S11),AND(Records!P11=Records!Q11,Records!Q11=Records!R11,Records!R11=Records!S11,Records!S11=Records!T11),AND(Records!Q11=Records!R11,Records!R11=Records!S11,Records!S11=Records!T11,Records!T11=Records!U11),AND(Records!R11=Records!S11,Records!S11=Records!T11,Records!T11=Records!U11,Records!U11=Records!V11),AND(Records!S11=Records!T11,Records!T11=Records!U11,Records!U11=Records!V11,Records!V11=Records!W11),AND(Records!T11=Records!U11,Records!U11=Records!V11,Records!V11=Records!W11,Records!W11=Records!X11)),"是","否"))</f>
        <v/>
      </c>
      <c r="R11" s="336">
        <f>IF(Records!AF11="","",Records!AF11)</f>
        <v/>
      </c>
      <c r="S11" s="336">
        <f>IF(Records!AG11="","",Records!AG11)</f>
        <v/>
      </c>
      <c r="T11" s="336">
        <f>IF(Records!AH11="","",Records!AH11)</f>
        <v/>
      </c>
      <c r="U11" s="336">
        <f>IF(Records!AI11="","",Records!AI11)</f>
        <v/>
      </c>
      <c r="V11" s="336">
        <f>IF(Records!AJ11="","",Records!AJ11)</f>
        <v/>
      </c>
      <c r="W11" s="336">
        <f>IF(Records!AK11="","",Records!AK11)</f>
        <v/>
      </c>
      <c r="X11" s="336">
        <f>IF(Records!AL11="","",Records!AL11)</f>
        <v/>
      </c>
      <c r="Y11" s="336">
        <f>IF(Records!AM11="","",Records!AM11)</f>
        <v/>
      </c>
      <c r="Z11" s="336">
        <f>IF(Records!AN11="","",Records!AN11)</f>
        <v/>
      </c>
    </row>
    <row r="12">
      <c r="A12" s="335">
        <f>IF(Records!A12="","",Records!A12)</f>
        <v/>
      </c>
      <c r="B12" s="335">
        <f>IF(Records!B12="","",Records!B12)</f>
        <v/>
      </c>
      <c r="C12" s="336">
        <f>IF(Records!H12="","",Records!H12)</f>
        <v/>
      </c>
      <c r="D12" s="336">
        <f>IF(Records!F12="","",Records!F12)</f>
        <v/>
      </c>
      <c r="E12" s="337">
        <f>IF(AND(COUNTIFS(Participants!$A$3:$A$26,Records!A12,Participants!$V$3:$V$26,"是")=1,Records!AB12="是",Records!AC12="是",Records!AD12="是",COUNT(Records!K12,Records!L12,Records!M12,Records!O12,Records!P12,Records!Q12,Records!R12,Records!S12,Records!T12,Records!U12,Records!V12,Records!W12,Records!X12)=13),"是","否")</f>
        <v/>
      </c>
      <c r="F12" s="336">
        <f>IF(Records!K12="","",Records!K12)</f>
        <v/>
      </c>
      <c r="G12" s="336">
        <f>IF(Records!R12="","",Records!R12)</f>
        <v/>
      </c>
      <c r="H12" s="336">
        <f>IF(Records!L12="","",Records!L12)</f>
        <v/>
      </c>
      <c r="I12" s="336">
        <f>IF(Records!M12="","",Records!M12)</f>
        <v/>
      </c>
      <c r="J12" s="336">
        <f>IF(Records!Q12="","",Records!Q12)</f>
        <v/>
      </c>
      <c r="K12" s="336">
        <f>IF(Records!W12="","",Records!W12)</f>
        <v/>
      </c>
      <c r="L12" s="336">
        <f>IF(Records!X12="","",Records!X12)</f>
        <v/>
      </c>
      <c r="M12" s="336">
        <f>IF(COUNT(Records!S12,Records!T12,Records!U12)=3,AVERAGE(Records!S12,Records!T12,Records!U12),"")</f>
        <v/>
      </c>
      <c r="N12" s="336">
        <f>IF(COUNT(Records!V12,Records!O12,Records!P12)=3,AVERAGE(Records!V12,Records!O12,Records!P12),"")</f>
        <v/>
      </c>
      <c r="O12" s="336">
        <f>IF(Records!N12="","",Records!N12)</f>
        <v/>
      </c>
      <c r="P12" s="337">
        <f>IF(Records!AA12="","",IF(Records!AA12&gt;150,"是","否"))</f>
        <v/>
      </c>
      <c r="Q12" s="337">
        <f>IF(COUNT(Records!K12,Records!L12,Records!M12,Records!O12,Records!P12,Records!Q12,Records!R12,Records!S12,Records!T12,Records!U12,Records!V12,Records!W12,Records!X12)&lt;13,"",IF(OR(AND(Records!K12=Records!L12,Records!L12=Records!M12,Records!M12=Records!O12,Records!O12=Records!P12),AND(Records!L12=Records!M12,Records!M12=Records!O12,Records!O12=Records!P12,Records!P12=Records!Q12),AND(Records!M12=Records!O12,Records!O12=Records!P12,Records!P12=Records!Q12,Records!Q12=Records!R12),AND(Records!O12=Records!P12,Records!P12=Records!Q12,Records!Q12=Records!R12,Records!R12=Records!S12),AND(Records!P12=Records!Q12,Records!Q12=Records!R12,Records!R12=Records!S12,Records!S12=Records!T12),AND(Records!Q12=Records!R12,Records!R12=Records!S12,Records!S12=Records!T12,Records!T12=Records!U12),AND(Records!R12=Records!S12,Records!S12=Records!T12,Records!T12=Records!U12,Records!U12=Records!V12),AND(Records!S12=Records!T12,Records!T12=Records!U12,Records!U12=Records!V12,Records!V12=Records!W12),AND(Records!T12=Records!U12,Records!U12=Records!V12,Records!V12=Records!W12,Records!W12=Records!X12)),"是","否"))</f>
        <v/>
      </c>
      <c r="R12" s="336">
        <f>IF(Records!AF12="","",Records!AF12)</f>
        <v/>
      </c>
      <c r="S12" s="336">
        <f>IF(Records!AG12="","",Records!AG12)</f>
        <v/>
      </c>
      <c r="T12" s="336">
        <f>IF(Records!AH12="","",Records!AH12)</f>
        <v/>
      </c>
      <c r="U12" s="336">
        <f>IF(Records!AI12="","",Records!AI12)</f>
        <v/>
      </c>
      <c r="V12" s="336">
        <f>IF(Records!AJ12="","",Records!AJ12)</f>
        <v/>
      </c>
      <c r="W12" s="336">
        <f>IF(Records!AK12="","",Records!AK12)</f>
        <v/>
      </c>
      <c r="X12" s="336">
        <f>IF(Records!AL12="","",Records!AL12)</f>
        <v/>
      </c>
      <c r="Y12" s="336">
        <f>IF(Records!AM12="","",Records!AM12)</f>
        <v/>
      </c>
      <c r="Z12" s="336">
        <f>IF(Records!AN12="","",Records!AN12)</f>
        <v/>
      </c>
    </row>
    <row r="13">
      <c r="A13" s="335">
        <f>IF(Records!A13="","",Records!A13)</f>
        <v/>
      </c>
      <c r="B13" s="335">
        <f>IF(Records!B13="","",Records!B13)</f>
        <v/>
      </c>
      <c r="C13" s="336">
        <f>IF(Records!H13="","",Records!H13)</f>
        <v/>
      </c>
      <c r="D13" s="336">
        <f>IF(Records!F13="","",Records!F13)</f>
        <v/>
      </c>
      <c r="E13" s="337">
        <f>IF(AND(COUNTIFS(Participants!$A$3:$A$26,Records!A13,Participants!$V$3:$V$26,"是")=1,Records!AB13="是",Records!AC13="是",Records!AD13="是",COUNT(Records!K13,Records!L13,Records!M13,Records!O13,Records!P13,Records!Q13,Records!R13,Records!S13,Records!T13,Records!U13,Records!V13,Records!W13,Records!X13)=13),"是","否")</f>
        <v/>
      </c>
      <c r="F13" s="336">
        <f>IF(Records!K13="","",Records!K13)</f>
        <v/>
      </c>
      <c r="G13" s="336">
        <f>IF(Records!R13="","",Records!R13)</f>
        <v/>
      </c>
      <c r="H13" s="336">
        <f>IF(Records!L13="","",Records!L13)</f>
        <v/>
      </c>
      <c r="I13" s="336">
        <f>IF(Records!M13="","",Records!M13)</f>
        <v/>
      </c>
      <c r="J13" s="336">
        <f>IF(Records!Q13="","",Records!Q13)</f>
        <v/>
      </c>
      <c r="K13" s="336">
        <f>IF(Records!W13="","",Records!W13)</f>
        <v/>
      </c>
      <c r="L13" s="336">
        <f>IF(Records!X13="","",Records!X13)</f>
        <v/>
      </c>
      <c r="M13" s="336">
        <f>IF(COUNT(Records!S13,Records!T13,Records!U13)=3,AVERAGE(Records!S13,Records!T13,Records!U13),"")</f>
        <v/>
      </c>
      <c r="N13" s="336">
        <f>IF(COUNT(Records!V13,Records!O13,Records!P13)=3,AVERAGE(Records!V13,Records!O13,Records!P13),"")</f>
        <v/>
      </c>
      <c r="O13" s="336">
        <f>IF(Records!N13="","",Records!N13)</f>
        <v/>
      </c>
      <c r="P13" s="337">
        <f>IF(Records!AA13="","",IF(Records!AA13&gt;150,"是","否"))</f>
        <v/>
      </c>
      <c r="Q13" s="337">
        <f>IF(COUNT(Records!K13,Records!L13,Records!M13,Records!O13,Records!P13,Records!Q13,Records!R13,Records!S13,Records!T13,Records!U13,Records!V13,Records!W13,Records!X13)&lt;13,"",IF(OR(AND(Records!K13=Records!L13,Records!L13=Records!M13,Records!M13=Records!O13,Records!O13=Records!P13),AND(Records!L13=Records!M13,Records!M13=Records!O13,Records!O13=Records!P13,Records!P13=Records!Q13),AND(Records!M13=Records!O13,Records!O13=Records!P13,Records!P13=Records!Q13,Records!Q13=Records!R13),AND(Records!O13=Records!P13,Records!P13=Records!Q13,Records!Q13=Records!R13,Records!R13=Records!S13),AND(Records!P13=Records!Q13,Records!Q13=Records!R13,Records!R13=Records!S13,Records!S13=Records!T13),AND(Records!Q13=Records!R13,Records!R13=Records!S13,Records!S13=Records!T13,Records!T13=Records!U13),AND(Records!R13=Records!S13,Records!S13=Records!T13,Records!T13=Records!U13,Records!U13=Records!V13),AND(Records!S13=Records!T13,Records!T13=Records!U13,Records!U13=Records!V13,Records!V13=Records!W13),AND(Records!T13=Records!U13,Records!U13=Records!V13,Records!V13=Records!W13,Records!W13=Records!X13)),"是","否"))</f>
        <v/>
      </c>
      <c r="R13" s="336">
        <f>IF(Records!AF13="","",Records!AF13)</f>
        <v/>
      </c>
      <c r="S13" s="336">
        <f>IF(Records!AG13="","",Records!AG13)</f>
        <v/>
      </c>
      <c r="T13" s="336">
        <f>IF(Records!AH13="","",Records!AH13)</f>
        <v/>
      </c>
      <c r="U13" s="336">
        <f>IF(Records!AI13="","",Records!AI13)</f>
        <v/>
      </c>
      <c r="V13" s="336">
        <f>IF(Records!AJ13="","",Records!AJ13)</f>
        <v/>
      </c>
      <c r="W13" s="336">
        <f>IF(Records!AK13="","",Records!AK13)</f>
        <v/>
      </c>
      <c r="X13" s="336">
        <f>IF(Records!AL13="","",Records!AL13)</f>
        <v/>
      </c>
      <c r="Y13" s="336">
        <f>IF(Records!AM13="","",Records!AM13)</f>
        <v/>
      </c>
      <c r="Z13" s="336">
        <f>IF(Records!AN13="","",Records!AN13)</f>
        <v/>
      </c>
    </row>
    <row r="14">
      <c r="A14" s="335">
        <f>IF(Records!A14="","",Records!A14)</f>
        <v/>
      </c>
      <c r="B14" s="335">
        <f>IF(Records!B14="","",Records!B14)</f>
        <v/>
      </c>
      <c r="C14" s="336">
        <f>IF(Records!H14="","",Records!H14)</f>
        <v/>
      </c>
      <c r="D14" s="336">
        <f>IF(Records!F14="","",Records!F14)</f>
        <v/>
      </c>
      <c r="E14" s="337">
        <f>IF(AND(COUNTIFS(Participants!$A$3:$A$26,Records!A14,Participants!$V$3:$V$26,"是")=1,Records!AB14="是",Records!AC14="是",Records!AD14="是",COUNT(Records!K14,Records!L14,Records!M14,Records!O14,Records!P14,Records!Q14,Records!R14,Records!S14,Records!T14,Records!U14,Records!V14,Records!W14,Records!X14)=13),"是","否")</f>
        <v/>
      </c>
      <c r="F14" s="336">
        <f>IF(Records!K14="","",Records!K14)</f>
        <v/>
      </c>
      <c r="G14" s="336">
        <f>IF(Records!R14="","",Records!R14)</f>
        <v/>
      </c>
      <c r="H14" s="336">
        <f>IF(Records!L14="","",Records!L14)</f>
        <v/>
      </c>
      <c r="I14" s="336">
        <f>IF(Records!M14="","",Records!M14)</f>
        <v/>
      </c>
      <c r="J14" s="336">
        <f>IF(Records!Q14="","",Records!Q14)</f>
        <v/>
      </c>
      <c r="K14" s="336">
        <f>IF(Records!W14="","",Records!W14)</f>
        <v/>
      </c>
      <c r="L14" s="336">
        <f>IF(Records!X14="","",Records!X14)</f>
        <v/>
      </c>
      <c r="M14" s="336">
        <f>IF(COUNT(Records!S14,Records!T14,Records!U14)=3,AVERAGE(Records!S14,Records!T14,Records!U14),"")</f>
        <v/>
      </c>
      <c r="N14" s="336">
        <f>IF(COUNT(Records!V14,Records!O14,Records!P14)=3,AVERAGE(Records!V14,Records!O14,Records!P14),"")</f>
        <v/>
      </c>
      <c r="O14" s="336">
        <f>IF(Records!N14="","",Records!N14)</f>
        <v/>
      </c>
      <c r="P14" s="337">
        <f>IF(Records!AA14="","",IF(Records!AA14&gt;150,"是","否"))</f>
        <v/>
      </c>
      <c r="Q14" s="337">
        <f>IF(COUNT(Records!K14,Records!L14,Records!M14,Records!O14,Records!P14,Records!Q14,Records!R14,Records!S14,Records!T14,Records!U14,Records!V14,Records!W14,Records!X14)&lt;13,"",IF(OR(AND(Records!K14=Records!L14,Records!L14=Records!M14,Records!M14=Records!O14,Records!O14=Records!P14),AND(Records!L14=Records!M14,Records!M14=Records!O14,Records!O14=Records!P14,Records!P14=Records!Q14),AND(Records!M14=Records!O14,Records!O14=Records!P14,Records!P14=Records!Q14,Records!Q14=Records!R14),AND(Records!O14=Records!P14,Records!P14=Records!Q14,Records!Q14=Records!R14,Records!R14=Records!S14),AND(Records!P14=Records!Q14,Records!Q14=Records!R14,Records!R14=Records!S14,Records!S14=Records!T14),AND(Records!Q14=Records!R14,Records!R14=Records!S14,Records!S14=Records!T14,Records!T14=Records!U14),AND(Records!R14=Records!S14,Records!S14=Records!T14,Records!T14=Records!U14,Records!U14=Records!V14),AND(Records!S14=Records!T14,Records!T14=Records!U14,Records!U14=Records!V14,Records!V14=Records!W14),AND(Records!T14=Records!U14,Records!U14=Records!V14,Records!V14=Records!W14,Records!W14=Records!X14)),"是","否"))</f>
        <v/>
      </c>
      <c r="R14" s="336">
        <f>IF(Records!AF14="","",Records!AF14)</f>
        <v/>
      </c>
      <c r="S14" s="336">
        <f>IF(Records!AG14="","",Records!AG14)</f>
        <v/>
      </c>
      <c r="T14" s="336">
        <f>IF(Records!AH14="","",Records!AH14)</f>
        <v/>
      </c>
      <c r="U14" s="336">
        <f>IF(Records!AI14="","",Records!AI14)</f>
        <v/>
      </c>
      <c r="V14" s="336">
        <f>IF(Records!AJ14="","",Records!AJ14)</f>
        <v/>
      </c>
      <c r="W14" s="336">
        <f>IF(Records!AK14="","",Records!AK14)</f>
        <v/>
      </c>
      <c r="X14" s="336">
        <f>IF(Records!AL14="","",Records!AL14)</f>
        <v/>
      </c>
      <c r="Y14" s="336">
        <f>IF(Records!AM14="","",Records!AM14)</f>
        <v/>
      </c>
      <c r="Z14" s="336">
        <f>IF(Records!AN14="","",Records!AN14)</f>
        <v/>
      </c>
    </row>
    <row r="15">
      <c r="A15" s="335">
        <f>IF(Records!A15="","",Records!A15)</f>
        <v/>
      </c>
      <c r="B15" s="335">
        <f>IF(Records!B15="","",Records!B15)</f>
        <v/>
      </c>
      <c r="C15" s="336">
        <f>IF(Records!H15="","",Records!H15)</f>
        <v/>
      </c>
      <c r="D15" s="336">
        <f>IF(Records!F15="","",Records!F15)</f>
        <v/>
      </c>
      <c r="E15" s="337">
        <f>IF(AND(COUNTIFS(Participants!$A$3:$A$26,Records!A15,Participants!$V$3:$V$26,"是")=1,Records!AB15="是",Records!AC15="是",Records!AD15="是",COUNT(Records!K15,Records!L15,Records!M15,Records!O15,Records!P15,Records!Q15,Records!R15,Records!S15,Records!T15,Records!U15,Records!V15,Records!W15,Records!X15)=13),"是","否")</f>
        <v/>
      </c>
      <c r="F15" s="336">
        <f>IF(Records!K15="","",Records!K15)</f>
        <v/>
      </c>
      <c r="G15" s="336">
        <f>IF(Records!R15="","",Records!R15)</f>
        <v/>
      </c>
      <c r="H15" s="336">
        <f>IF(Records!L15="","",Records!L15)</f>
        <v/>
      </c>
      <c r="I15" s="336">
        <f>IF(Records!M15="","",Records!M15)</f>
        <v/>
      </c>
      <c r="J15" s="336">
        <f>IF(Records!Q15="","",Records!Q15)</f>
        <v/>
      </c>
      <c r="K15" s="336">
        <f>IF(Records!W15="","",Records!W15)</f>
        <v/>
      </c>
      <c r="L15" s="336">
        <f>IF(Records!X15="","",Records!X15)</f>
        <v/>
      </c>
      <c r="M15" s="336">
        <f>IF(COUNT(Records!S15,Records!T15,Records!U15)=3,AVERAGE(Records!S15,Records!T15,Records!U15),"")</f>
        <v/>
      </c>
      <c r="N15" s="336">
        <f>IF(COUNT(Records!V15,Records!O15,Records!P15)=3,AVERAGE(Records!V15,Records!O15,Records!P15),"")</f>
        <v/>
      </c>
      <c r="O15" s="336">
        <f>IF(Records!N15="","",Records!N15)</f>
        <v/>
      </c>
      <c r="P15" s="337">
        <f>IF(Records!AA15="","",IF(Records!AA15&gt;150,"是","否"))</f>
        <v/>
      </c>
      <c r="Q15" s="337">
        <f>IF(COUNT(Records!K15,Records!L15,Records!M15,Records!O15,Records!P15,Records!Q15,Records!R15,Records!S15,Records!T15,Records!U15,Records!V15,Records!W15,Records!X15)&lt;13,"",IF(OR(AND(Records!K15=Records!L15,Records!L15=Records!M15,Records!M15=Records!O15,Records!O15=Records!P15),AND(Records!L15=Records!M15,Records!M15=Records!O15,Records!O15=Records!P15,Records!P15=Records!Q15),AND(Records!M15=Records!O15,Records!O15=Records!P15,Records!P15=Records!Q15,Records!Q15=Records!R15),AND(Records!O15=Records!P15,Records!P15=Records!Q15,Records!Q15=Records!R15,Records!R15=Records!S15),AND(Records!P15=Records!Q15,Records!Q15=Records!R15,Records!R15=Records!S15,Records!S15=Records!T15),AND(Records!Q15=Records!R15,Records!R15=Records!S15,Records!S15=Records!T15,Records!T15=Records!U15),AND(Records!R15=Records!S15,Records!S15=Records!T15,Records!T15=Records!U15,Records!U15=Records!V15),AND(Records!S15=Records!T15,Records!T15=Records!U15,Records!U15=Records!V15,Records!V15=Records!W15),AND(Records!T15=Records!U15,Records!U15=Records!V15,Records!V15=Records!W15,Records!W15=Records!X15)),"是","否"))</f>
        <v/>
      </c>
      <c r="R15" s="336">
        <f>IF(Records!AF15="","",Records!AF15)</f>
        <v/>
      </c>
      <c r="S15" s="336">
        <f>IF(Records!AG15="","",Records!AG15)</f>
        <v/>
      </c>
      <c r="T15" s="336">
        <f>IF(Records!AH15="","",Records!AH15)</f>
        <v/>
      </c>
      <c r="U15" s="336">
        <f>IF(Records!AI15="","",Records!AI15)</f>
        <v/>
      </c>
      <c r="V15" s="336">
        <f>IF(Records!AJ15="","",Records!AJ15)</f>
        <v/>
      </c>
      <c r="W15" s="336">
        <f>IF(Records!AK15="","",Records!AK15)</f>
        <v/>
      </c>
      <c r="X15" s="336">
        <f>IF(Records!AL15="","",Records!AL15)</f>
        <v/>
      </c>
      <c r="Y15" s="336">
        <f>IF(Records!AM15="","",Records!AM15)</f>
        <v/>
      </c>
      <c r="Z15" s="336">
        <f>IF(Records!AN15="","",Records!AN15)</f>
        <v/>
      </c>
    </row>
    <row r="16">
      <c r="A16" s="335">
        <f>IF(Records!A16="","",Records!A16)</f>
        <v/>
      </c>
      <c r="B16" s="335">
        <f>IF(Records!B16="","",Records!B16)</f>
        <v/>
      </c>
      <c r="C16" s="336">
        <f>IF(Records!H16="","",Records!H16)</f>
        <v/>
      </c>
      <c r="D16" s="336">
        <f>IF(Records!F16="","",Records!F16)</f>
        <v/>
      </c>
      <c r="E16" s="337">
        <f>IF(AND(COUNTIFS(Participants!$A$3:$A$26,Records!A16,Participants!$V$3:$V$26,"是")=1,Records!AB16="是",Records!AC16="是",Records!AD16="是",COUNT(Records!K16,Records!L16,Records!M16,Records!O16,Records!P16,Records!Q16,Records!R16,Records!S16,Records!T16,Records!U16,Records!V16,Records!W16,Records!X16)=13),"是","否")</f>
        <v/>
      </c>
      <c r="F16" s="336">
        <f>IF(Records!K16="","",Records!K16)</f>
        <v/>
      </c>
      <c r="G16" s="336">
        <f>IF(Records!R16="","",Records!R16)</f>
        <v/>
      </c>
      <c r="H16" s="336">
        <f>IF(Records!L16="","",Records!L16)</f>
        <v/>
      </c>
      <c r="I16" s="336">
        <f>IF(Records!M16="","",Records!M16)</f>
        <v/>
      </c>
      <c r="J16" s="336">
        <f>IF(Records!Q16="","",Records!Q16)</f>
        <v/>
      </c>
      <c r="K16" s="336">
        <f>IF(Records!W16="","",Records!W16)</f>
        <v/>
      </c>
      <c r="L16" s="336">
        <f>IF(Records!X16="","",Records!X16)</f>
        <v/>
      </c>
      <c r="M16" s="336">
        <f>IF(COUNT(Records!S16,Records!T16,Records!U16)=3,AVERAGE(Records!S16,Records!T16,Records!U16),"")</f>
        <v/>
      </c>
      <c r="N16" s="336">
        <f>IF(COUNT(Records!V16,Records!O16,Records!P16)=3,AVERAGE(Records!V16,Records!O16,Records!P16),"")</f>
        <v/>
      </c>
      <c r="O16" s="336">
        <f>IF(Records!N16="","",Records!N16)</f>
        <v/>
      </c>
      <c r="P16" s="337">
        <f>IF(Records!AA16="","",IF(Records!AA16&gt;150,"是","否"))</f>
        <v/>
      </c>
      <c r="Q16" s="337">
        <f>IF(COUNT(Records!K16,Records!L16,Records!M16,Records!O16,Records!P16,Records!Q16,Records!R16,Records!S16,Records!T16,Records!U16,Records!V16,Records!W16,Records!X16)&lt;13,"",IF(OR(AND(Records!K16=Records!L16,Records!L16=Records!M16,Records!M16=Records!O16,Records!O16=Records!P16),AND(Records!L16=Records!M16,Records!M16=Records!O16,Records!O16=Records!P16,Records!P16=Records!Q16),AND(Records!M16=Records!O16,Records!O16=Records!P16,Records!P16=Records!Q16,Records!Q16=Records!R16),AND(Records!O16=Records!P16,Records!P16=Records!Q16,Records!Q16=Records!R16,Records!R16=Records!S16),AND(Records!P16=Records!Q16,Records!Q16=Records!R16,Records!R16=Records!S16,Records!S16=Records!T16),AND(Records!Q16=Records!R16,Records!R16=Records!S16,Records!S16=Records!T16,Records!T16=Records!U16),AND(Records!R16=Records!S16,Records!S16=Records!T16,Records!T16=Records!U16,Records!U16=Records!V16),AND(Records!S16=Records!T16,Records!T16=Records!U16,Records!U16=Records!V16,Records!V16=Records!W16),AND(Records!T16=Records!U16,Records!U16=Records!V16,Records!V16=Records!W16,Records!W16=Records!X16)),"是","否"))</f>
        <v/>
      </c>
      <c r="R16" s="336">
        <f>IF(Records!AF16="","",Records!AF16)</f>
        <v/>
      </c>
      <c r="S16" s="336">
        <f>IF(Records!AG16="","",Records!AG16)</f>
        <v/>
      </c>
      <c r="T16" s="336">
        <f>IF(Records!AH16="","",Records!AH16)</f>
        <v/>
      </c>
      <c r="U16" s="336">
        <f>IF(Records!AI16="","",Records!AI16)</f>
        <v/>
      </c>
      <c r="V16" s="336">
        <f>IF(Records!AJ16="","",Records!AJ16)</f>
        <v/>
      </c>
      <c r="W16" s="336">
        <f>IF(Records!AK16="","",Records!AK16)</f>
        <v/>
      </c>
      <c r="X16" s="336">
        <f>IF(Records!AL16="","",Records!AL16)</f>
        <v/>
      </c>
      <c r="Y16" s="336">
        <f>IF(Records!AM16="","",Records!AM16)</f>
        <v/>
      </c>
      <c r="Z16" s="336">
        <f>IF(Records!AN16="","",Records!AN16)</f>
        <v/>
      </c>
    </row>
    <row r="17">
      <c r="A17" s="335">
        <f>IF(Records!A17="","",Records!A17)</f>
        <v/>
      </c>
      <c r="B17" s="335">
        <f>IF(Records!B17="","",Records!B17)</f>
        <v/>
      </c>
      <c r="C17" s="336">
        <f>IF(Records!H17="","",Records!H17)</f>
        <v/>
      </c>
      <c r="D17" s="336">
        <f>IF(Records!F17="","",Records!F17)</f>
        <v/>
      </c>
      <c r="E17" s="337">
        <f>IF(AND(COUNTIFS(Participants!$A$3:$A$26,Records!A17,Participants!$V$3:$V$26,"是")=1,Records!AB17="是",Records!AC17="是",Records!AD17="是",COUNT(Records!K17,Records!L17,Records!M17,Records!O17,Records!P17,Records!Q17,Records!R17,Records!S17,Records!T17,Records!U17,Records!V17,Records!W17,Records!X17)=13),"是","否")</f>
        <v/>
      </c>
      <c r="F17" s="336">
        <f>IF(Records!K17="","",Records!K17)</f>
        <v/>
      </c>
      <c r="G17" s="336">
        <f>IF(Records!R17="","",Records!R17)</f>
        <v/>
      </c>
      <c r="H17" s="336">
        <f>IF(Records!L17="","",Records!L17)</f>
        <v/>
      </c>
      <c r="I17" s="336">
        <f>IF(Records!M17="","",Records!M17)</f>
        <v/>
      </c>
      <c r="J17" s="336">
        <f>IF(Records!Q17="","",Records!Q17)</f>
        <v/>
      </c>
      <c r="K17" s="336">
        <f>IF(Records!W17="","",Records!W17)</f>
        <v/>
      </c>
      <c r="L17" s="336">
        <f>IF(Records!X17="","",Records!X17)</f>
        <v/>
      </c>
      <c r="M17" s="336">
        <f>IF(COUNT(Records!S17,Records!T17,Records!U17)=3,AVERAGE(Records!S17,Records!T17,Records!U17),"")</f>
        <v/>
      </c>
      <c r="N17" s="336">
        <f>IF(COUNT(Records!V17,Records!O17,Records!P17)=3,AVERAGE(Records!V17,Records!O17,Records!P17),"")</f>
        <v/>
      </c>
      <c r="O17" s="336">
        <f>IF(Records!N17="","",Records!N17)</f>
        <v/>
      </c>
      <c r="P17" s="337">
        <f>IF(Records!AA17="","",IF(Records!AA17&gt;150,"是","否"))</f>
        <v/>
      </c>
      <c r="Q17" s="337">
        <f>IF(COUNT(Records!K17,Records!L17,Records!M17,Records!O17,Records!P17,Records!Q17,Records!R17,Records!S17,Records!T17,Records!U17,Records!V17,Records!W17,Records!X17)&lt;13,"",IF(OR(AND(Records!K17=Records!L17,Records!L17=Records!M17,Records!M17=Records!O17,Records!O17=Records!P17),AND(Records!L17=Records!M17,Records!M17=Records!O17,Records!O17=Records!P17,Records!P17=Records!Q17),AND(Records!M17=Records!O17,Records!O17=Records!P17,Records!P17=Records!Q17,Records!Q17=Records!R17),AND(Records!O17=Records!P17,Records!P17=Records!Q17,Records!Q17=Records!R17,Records!R17=Records!S17),AND(Records!P17=Records!Q17,Records!Q17=Records!R17,Records!R17=Records!S17,Records!S17=Records!T17),AND(Records!Q17=Records!R17,Records!R17=Records!S17,Records!S17=Records!T17,Records!T17=Records!U17),AND(Records!R17=Records!S17,Records!S17=Records!T17,Records!T17=Records!U17,Records!U17=Records!V17),AND(Records!S17=Records!T17,Records!T17=Records!U17,Records!U17=Records!V17,Records!V17=Records!W17),AND(Records!T17=Records!U17,Records!U17=Records!V17,Records!V17=Records!W17,Records!W17=Records!X17)),"是","否"))</f>
        <v/>
      </c>
      <c r="R17" s="336">
        <f>IF(Records!AF17="","",Records!AF17)</f>
        <v/>
      </c>
      <c r="S17" s="336">
        <f>IF(Records!AG17="","",Records!AG17)</f>
        <v/>
      </c>
      <c r="T17" s="336">
        <f>IF(Records!AH17="","",Records!AH17)</f>
        <v/>
      </c>
      <c r="U17" s="336">
        <f>IF(Records!AI17="","",Records!AI17)</f>
        <v/>
      </c>
      <c r="V17" s="336">
        <f>IF(Records!AJ17="","",Records!AJ17)</f>
        <v/>
      </c>
      <c r="W17" s="336">
        <f>IF(Records!AK17="","",Records!AK17)</f>
        <v/>
      </c>
      <c r="X17" s="336">
        <f>IF(Records!AL17="","",Records!AL17)</f>
        <v/>
      </c>
      <c r="Y17" s="336">
        <f>IF(Records!AM17="","",Records!AM17)</f>
        <v/>
      </c>
      <c r="Z17" s="336">
        <f>IF(Records!AN17="","",Records!AN17)</f>
        <v/>
      </c>
    </row>
    <row r="18">
      <c r="A18" s="335">
        <f>IF(Records!A18="","",Records!A18)</f>
        <v/>
      </c>
      <c r="B18" s="335">
        <f>IF(Records!B18="","",Records!B18)</f>
        <v/>
      </c>
      <c r="C18" s="336">
        <f>IF(Records!H18="","",Records!H18)</f>
        <v/>
      </c>
      <c r="D18" s="336">
        <f>IF(Records!F18="","",Records!F18)</f>
        <v/>
      </c>
      <c r="E18" s="337">
        <f>IF(AND(COUNTIFS(Participants!$A$3:$A$26,Records!A18,Participants!$V$3:$V$26,"是")=1,Records!AB18="是",Records!AC18="是",Records!AD18="是",COUNT(Records!K18,Records!L18,Records!M18,Records!O18,Records!P18,Records!Q18,Records!R18,Records!S18,Records!T18,Records!U18,Records!V18,Records!W18,Records!X18)=13),"是","否")</f>
        <v/>
      </c>
      <c r="F18" s="336">
        <f>IF(Records!K18="","",Records!K18)</f>
        <v/>
      </c>
      <c r="G18" s="336">
        <f>IF(Records!R18="","",Records!R18)</f>
        <v/>
      </c>
      <c r="H18" s="336">
        <f>IF(Records!L18="","",Records!L18)</f>
        <v/>
      </c>
      <c r="I18" s="336">
        <f>IF(Records!M18="","",Records!M18)</f>
        <v/>
      </c>
      <c r="J18" s="336">
        <f>IF(Records!Q18="","",Records!Q18)</f>
        <v/>
      </c>
      <c r="K18" s="336">
        <f>IF(Records!W18="","",Records!W18)</f>
        <v/>
      </c>
      <c r="L18" s="336">
        <f>IF(Records!X18="","",Records!X18)</f>
        <v/>
      </c>
      <c r="M18" s="336">
        <f>IF(COUNT(Records!S18,Records!T18,Records!U18)=3,AVERAGE(Records!S18,Records!T18,Records!U18),"")</f>
        <v/>
      </c>
      <c r="N18" s="336">
        <f>IF(COUNT(Records!V18,Records!O18,Records!P18)=3,AVERAGE(Records!V18,Records!O18,Records!P18),"")</f>
        <v/>
      </c>
      <c r="O18" s="336">
        <f>IF(Records!N18="","",Records!N18)</f>
        <v/>
      </c>
      <c r="P18" s="337">
        <f>IF(Records!AA18="","",IF(Records!AA18&gt;150,"是","否"))</f>
        <v/>
      </c>
      <c r="Q18" s="337">
        <f>IF(COUNT(Records!K18,Records!L18,Records!M18,Records!O18,Records!P18,Records!Q18,Records!R18,Records!S18,Records!T18,Records!U18,Records!V18,Records!W18,Records!X18)&lt;13,"",IF(OR(AND(Records!K18=Records!L18,Records!L18=Records!M18,Records!M18=Records!O18,Records!O18=Records!P18),AND(Records!L18=Records!M18,Records!M18=Records!O18,Records!O18=Records!P18,Records!P18=Records!Q18),AND(Records!M18=Records!O18,Records!O18=Records!P18,Records!P18=Records!Q18,Records!Q18=Records!R18),AND(Records!O18=Records!P18,Records!P18=Records!Q18,Records!Q18=Records!R18,Records!R18=Records!S18),AND(Records!P18=Records!Q18,Records!Q18=Records!R18,Records!R18=Records!S18,Records!S18=Records!T18),AND(Records!Q18=Records!R18,Records!R18=Records!S18,Records!S18=Records!T18,Records!T18=Records!U18),AND(Records!R18=Records!S18,Records!S18=Records!T18,Records!T18=Records!U18,Records!U18=Records!V18),AND(Records!S18=Records!T18,Records!T18=Records!U18,Records!U18=Records!V18,Records!V18=Records!W18),AND(Records!T18=Records!U18,Records!U18=Records!V18,Records!V18=Records!W18,Records!W18=Records!X18)),"是","否"))</f>
        <v/>
      </c>
      <c r="R18" s="336">
        <f>IF(Records!AF18="","",Records!AF18)</f>
        <v/>
      </c>
      <c r="S18" s="336">
        <f>IF(Records!AG18="","",Records!AG18)</f>
        <v/>
      </c>
      <c r="T18" s="336">
        <f>IF(Records!AH18="","",Records!AH18)</f>
        <v/>
      </c>
      <c r="U18" s="336">
        <f>IF(Records!AI18="","",Records!AI18)</f>
        <v/>
      </c>
      <c r="V18" s="336">
        <f>IF(Records!AJ18="","",Records!AJ18)</f>
        <v/>
      </c>
      <c r="W18" s="336">
        <f>IF(Records!AK18="","",Records!AK18)</f>
        <v/>
      </c>
      <c r="X18" s="336">
        <f>IF(Records!AL18="","",Records!AL18)</f>
        <v/>
      </c>
      <c r="Y18" s="336">
        <f>IF(Records!AM18="","",Records!AM18)</f>
        <v/>
      </c>
      <c r="Z18" s="336">
        <f>IF(Records!AN18="","",Records!AN18)</f>
        <v/>
      </c>
    </row>
    <row r="19">
      <c r="A19" s="335">
        <f>IF(Records!A19="","",Records!A19)</f>
        <v/>
      </c>
      <c r="B19" s="335">
        <f>IF(Records!B19="","",Records!B19)</f>
        <v/>
      </c>
      <c r="C19" s="336">
        <f>IF(Records!H19="","",Records!H19)</f>
        <v/>
      </c>
      <c r="D19" s="336">
        <f>IF(Records!F19="","",Records!F19)</f>
        <v/>
      </c>
      <c r="E19" s="337">
        <f>IF(AND(COUNTIFS(Participants!$A$3:$A$26,Records!A19,Participants!$V$3:$V$26,"是")=1,Records!AB19="是",Records!AC19="是",Records!AD19="是",COUNT(Records!K19,Records!L19,Records!M19,Records!O19,Records!P19,Records!Q19,Records!R19,Records!S19,Records!T19,Records!U19,Records!V19,Records!W19,Records!X19)=13),"是","否")</f>
        <v/>
      </c>
      <c r="F19" s="336">
        <f>IF(Records!K19="","",Records!K19)</f>
        <v/>
      </c>
      <c r="G19" s="336">
        <f>IF(Records!R19="","",Records!R19)</f>
        <v/>
      </c>
      <c r="H19" s="336">
        <f>IF(Records!L19="","",Records!L19)</f>
        <v/>
      </c>
      <c r="I19" s="336">
        <f>IF(Records!M19="","",Records!M19)</f>
        <v/>
      </c>
      <c r="J19" s="336">
        <f>IF(Records!Q19="","",Records!Q19)</f>
        <v/>
      </c>
      <c r="K19" s="336">
        <f>IF(Records!W19="","",Records!W19)</f>
        <v/>
      </c>
      <c r="L19" s="336">
        <f>IF(Records!X19="","",Records!X19)</f>
        <v/>
      </c>
      <c r="M19" s="336">
        <f>IF(COUNT(Records!S19,Records!T19,Records!U19)=3,AVERAGE(Records!S19,Records!T19,Records!U19),"")</f>
        <v/>
      </c>
      <c r="N19" s="336">
        <f>IF(COUNT(Records!V19,Records!O19,Records!P19)=3,AVERAGE(Records!V19,Records!O19,Records!P19),"")</f>
        <v/>
      </c>
      <c r="O19" s="336">
        <f>IF(Records!N19="","",Records!N19)</f>
        <v/>
      </c>
      <c r="P19" s="337">
        <f>IF(Records!AA19="","",IF(Records!AA19&gt;150,"是","否"))</f>
        <v/>
      </c>
      <c r="Q19" s="337">
        <f>IF(COUNT(Records!K19,Records!L19,Records!M19,Records!O19,Records!P19,Records!Q19,Records!R19,Records!S19,Records!T19,Records!U19,Records!V19,Records!W19,Records!X19)&lt;13,"",IF(OR(AND(Records!K19=Records!L19,Records!L19=Records!M19,Records!M19=Records!O19,Records!O19=Records!P19),AND(Records!L19=Records!M19,Records!M19=Records!O19,Records!O19=Records!P19,Records!P19=Records!Q19),AND(Records!M19=Records!O19,Records!O19=Records!P19,Records!P19=Records!Q19,Records!Q19=Records!R19),AND(Records!O19=Records!P19,Records!P19=Records!Q19,Records!Q19=Records!R19,Records!R19=Records!S19),AND(Records!P19=Records!Q19,Records!Q19=Records!R19,Records!R19=Records!S19,Records!S19=Records!T19),AND(Records!Q19=Records!R19,Records!R19=Records!S19,Records!S19=Records!T19,Records!T19=Records!U19),AND(Records!R19=Records!S19,Records!S19=Records!T19,Records!T19=Records!U19,Records!U19=Records!V19),AND(Records!S19=Records!T19,Records!T19=Records!U19,Records!U19=Records!V19,Records!V19=Records!W19),AND(Records!T19=Records!U19,Records!U19=Records!V19,Records!V19=Records!W19,Records!W19=Records!X19)),"是","否"))</f>
        <v/>
      </c>
      <c r="R19" s="336">
        <f>IF(Records!AF19="","",Records!AF19)</f>
        <v/>
      </c>
      <c r="S19" s="336">
        <f>IF(Records!AG19="","",Records!AG19)</f>
        <v/>
      </c>
      <c r="T19" s="336">
        <f>IF(Records!AH19="","",Records!AH19)</f>
        <v/>
      </c>
      <c r="U19" s="336">
        <f>IF(Records!AI19="","",Records!AI19)</f>
        <v/>
      </c>
      <c r="V19" s="336">
        <f>IF(Records!AJ19="","",Records!AJ19)</f>
        <v/>
      </c>
      <c r="W19" s="336">
        <f>IF(Records!AK19="","",Records!AK19)</f>
        <v/>
      </c>
      <c r="X19" s="336">
        <f>IF(Records!AL19="","",Records!AL19)</f>
        <v/>
      </c>
      <c r="Y19" s="336">
        <f>IF(Records!AM19="","",Records!AM19)</f>
        <v/>
      </c>
      <c r="Z19" s="336">
        <f>IF(Records!AN19="","",Records!AN19)</f>
        <v/>
      </c>
    </row>
    <row r="20">
      <c r="A20" s="335">
        <f>IF(Records!A20="","",Records!A20)</f>
        <v/>
      </c>
      <c r="B20" s="335">
        <f>IF(Records!B20="","",Records!B20)</f>
        <v/>
      </c>
      <c r="C20" s="336">
        <f>IF(Records!H20="","",Records!H20)</f>
        <v/>
      </c>
      <c r="D20" s="336">
        <f>IF(Records!F20="","",Records!F20)</f>
        <v/>
      </c>
      <c r="E20" s="337">
        <f>IF(AND(COUNTIFS(Participants!$A$3:$A$26,Records!A20,Participants!$V$3:$V$26,"是")=1,Records!AB20="是",Records!AC20="是",Records!AD20="是",COUNT(Records!K20,Records!L20,Records!M20,Records!O20,Records!P20,Records!Q20,Records!R20,Records!S20,Records!T20,Records!U20,Records!V20,Records!W20,Records!X20)=13),"是","否")</f>
        <v/>
      </c>
      <c r="F20" s="336">
        <f>IF(Records!K20="","",Records!K20)</f>
        <v/>
      </c>
      <c r="G20" s="336">
        <f>IF(Records!R20="","",Records!R20)</f>
        <v/>
      </c>
      <c r="H20" s="336">
        <f>IF(Records!L20="","",Records!L20)</f>
        <v/>
      </c>
      <c r="I20" s="336">
        <f>IF(Records!M20="","",Records!M20)</f>
        <v/>
      </c>
      <c r="J20" s="336">
        <f>IF(Records!Q20="","",Records!Q20)</f>
        <v/>
      </c>
      <c r="K20" s="336">
        <f>IF(Records!W20="","",Records!W20)</f>
        <v/>
      </c>
      <c r="L20" s="336">
        <f>IF(Records!X20="","",Records!X20)</f>
        <v/>
      </c>
      <c r="M20" s="336">
        <f>IF(COUNT(Records!S20,Records!T20,Records!U20)=3,AVERAGE(Records!S20,Records!T20,Records!U20),"")</f>
        <v/>
      </c>
      <c r="N20" s="336">
        <f>IF(COUNT(Records!V20,Records!O20,Records!P20)=3,AVERAGE(Records!V20,Records!O20,Records!P20),"")</f>
        <v/>
      </c>
      <c r="O20" s="336">
        <f>IF(Records!N20="","",Records!N20)</f>
        <v/>
      </c>
      <c r="P20" s="337">
        <f>IF(Records!AA20="","",IF(Records!AA20&gt;150,"是","否"))</f>
        <v/>
      </c>
      <c r="Q20" s="337">
        <f>IF(COUNT(Records!K20,Records!L20,Records!M20,Records!O20,Records!P20,Records!Q20,Records!R20,Records!S20,Records!T20,Records!U20,Records!V20,Records!W20,Records!X20)&lt;13,"",IF(OR(AND(Records!K20=Records!L20,Records!L20=Records!M20,Records!M20=Records!O20,Records!O20=Records!P20),AND(Records!L20=Records!M20,Records!M20=Records!O20,Records!O20=Records!P20,Records!P20=Records!Q20),AND(Records!M20=Records!O20,Records!O20=Records!P20,Records!P20=Records!Q20,Records!Q20=Records!R20),AND(Records!O20=Records!P20,Records!P20=Records!Q20,Records!Q20=Records!R20,Records!R20=Records!S20),AND(Records!P20=Records!Q20,Records!Q20=Records!R20,Records!R20=Records!S20,Records!S20=Records!T20),AND(Records!Q20=Records!R20,Records!R20=Records!S20,Records!S20=Records!T20,Records!T20=Records!U20),AND(Records!R20=Records!S20,Records!S20=Records!T20,Records!T20=Records!U20,Records!U20=Records!V20),AND(Records!S20=Records!T20,Records!T20=Records!U20,Records!U20=Records!V20,Records!V20=Records!W20),AND(Records!T20=Records!U20,Records!U20=Records!V20,Records!V20=Records!W20,Records!W20=Records!X20)),"是","否"))</f>
        <v/>
      </c>
      <c r="R20" s="336">
        <f>IF(Records!AF20="","",Records!AF20)</f>
        <v/>
      </c>
      <c r="S20" s="336">
        <f>IF(Records!AG20="","",Records!AG20)</f>
        <v/>
      </c>
      <c r="T20" s="336">
        <f>IF(Records!AH20="","",Records!AH20)</f>
        <v/>
      </c>
      <c r="U20" s="336">
        <f>IF(Records!AI20="","",Records!AI20)</f>
        <v/>
      </c>
      <c r="V20" s="336">
        <f>IF(Records!AJ20="","",Records!AJ20)</f>
        <v/>
      </c>
      <c r="W20" s="336">
        <f>IF(Records!AK20="","",Records!AK20)</f>
        <v/>
      </c>
      <c r="X20" s="336">
        <f>IF(Records!AL20="","",Records!AL20)</f>
        <v/>
      </c>
      <c r="Y20" s="336">
        <f>IF(Records!AM20="","",Records!AM20)</f>
        <v/>
      </c>
      <c r="Z20" s="336">
        <f>IF(Records!AN20="","",Records!AN20)</f>
        <v/>
      </c>
    </row>
    <row r="21">
      <c r="A21" s="335">
        <f>IF(Records!A21="","",Records!A21)</f>
        <v/>
      </c>
      <c r="B21" s="335">
        <f>IF(Records!B21="","",Records!B21)</f>
        <v/>
      </c>
      <c r="C21" s="336">
        <f>IF(Records!H21="","",Records!H21)</f>
        <v/>
      </c>
      <c r="D21" s="336">
        <f>IF(Records!F21="","",Records!F21)</f>
        <v/>
      </c>
      <c r="E21" s="337">
        <f>IF(AND(COUNTIFS(Participants!$A$3:$A$26,Records!A21,Participants!$V$3:$V$26,"是")=1,Records!AB21="是",Records!AC21="是",Records!AD21="是",COUNT(Records!K21,Records!L21,Records!M21,Records!O21,Records!P21,Records!Q21,Records!R21,Records!S21,Records!T21,Records!U21,Records!V21,Records!W21,Records!X21)=13),"是","否")</f>
        <v/>
      </c>
      <c r="F21" s="336">
        <f>IF(Records!K21="","",Records!K21)</f>
        <v/>
      </c>
      <c r="G21" s="336">
        <f>IF(Records!R21="","",Records!R21)</f>
        <v/>
      </c>
      <c r="H21" s="336">
        <f>IF(Records!L21="","",Records!L21)</f>
        <v/>
      </c>
      <c r="I21" s="336">
        <f>IF(Records!M21="","",Records!M21)</f>
        <v/>
      </c>
      <c r="J21" s="336">
        <f>IF(Records!Q21="","",Records!Q21)</f>
        <v/>
      </c>
      <c r="K21" s="336">
        <f>IF(Records!W21="","",Records!W21)</f>
        <v/>
      </c>
      <c r="L21" s="336">
        <f>IF(Records!X21="","",Records!X21)</f>
        <v/>
      </c>
      <c r="M21" s="336">
        <f>IF(COUNT(Records!S21,Records!T21,Records!U21)=3,AVERAGE(Records!S21,Records!T21,Records!U21),"")</f>
        <v/>
      </c>
      <c r="N21" s="336">
        <f>IF(COUNT(Records!V21,Records!O21,Records!P21)=3,AVERAGE(Records!V21,Records!O21,Records!P21),"")</f>
        <v/>
      </c>
      <c r="O21" s="336">
        <f>IF(Records!N21="","",Records!N21)</f>
        <v/>
      </c>
      <c r="P21" s="337">
        <f>IF(Records!AA21="","",IF(Records!AA21&gt;150,"是","否"))</f>
        <v/>
      </c>
      <c r="Q21" s="337">
        <f>IF(COUNT(Records!K21,Records!L21,Records!M21,Records!O21,Records!P21,Records!Q21,Records!R21,Records!S21,Records!T21,Records!U21,Records!V21,Records!W21,Records!X21)&lt;13,"",IF(OR(AND(Records!K21=Records!L21,Records!L21=Records!M21,Records!M21=Records!O21,Records!O21=Records!P21),AND(Records!L21=Records!M21,Records!M21=Records!O21,Records!O21=Records!P21,Records!P21=Records!Q21),AND(Records!M21=Records!O21,Records!O21=Records!P21,Records!P21=Records!Q21,Records!Q21=Records!R21),AND(Records!O21=Records!P21,Records!P21=Records!Q21,Records!Q21=Records!R21,Records!R21=Records!S21),AND(Records!P21=Records!Q21,Records!Q21=Records!R21,Records!R21=Records!S21,Records!S21=Records!T21),AND(Records!Q21=Records!R21,Records!R21=Records!S21,Records!S21=Records!T21,Records!T21=Records!U21),AND(Records!R21=Records!S21,Records!S21=Records!T21,Records!T21=Records!U21,Records!U21=Records!V21),AND(Records!S21=Records!T21,Records!T21=Records!U21,Records!U21=Records!V21,Records!V21=Records!W21),AND(Records!T21=Records!U21,Records!U21=Records!V21,Records!V21=Records!W21,Records!W21=Records!X21)),"是","否"))</f>
        <v/>
      </c>
      <c r="R21" s="336">
        <f>IF(Records!AF21="","",Records!AF21)</f>
        <v/>
      </c>
      <c r="S21" s="336">
        <f>IF(Records!AG21="","",Records!AG21)</f>
        <v/>
      </c>
      <c r="T21" s="336">
        <f>IF(Records!AH21="","",Records!AH21)</f>
        <v/>
      </c>
      <c r="U21" s="336">
        <f>IF(Records!AI21="","",Records!AI21)</f>
        <v/>
      </c>
      <c r="V21" s="336">
        <f>IF(Records!AJ21="","",Records!AJ21)</f>
        <v/>
      </c>
      <c r="W21" s="336">
        <f>IF(Records!AK21="","",Records!AK21)</f>
        <v/>
      </c>
      <c r="X21" s="336">
        <f>IF(Records!AL21="","",Records!AL21)</f>
        <v/>
      </c>
      <c r="Y21" s="336">
        <f>IF(Records!AM21="","",Records!AM21)</f>
        <v/>
      </c>
      <c r="Z21" s="336">
        <f>IF(Records!AN21="","",Records!AN21)</f>
        <v/>
      </c>
    </row>
    <row r="22">
      <c r="A22" s="335">
        <f>IF(Records!A22="","",Records!A22)</f>
        <v/>
      </c>
      <c r="B22" s="335">
        <f>IF(Records!B22="","",Records!B22)</f>
        <v/>
      </c>
      <c r="C22" s="336">
        <f>IF(Records!H22="","",Records!H22)</f>
        <v/>
      </c>
      <c r="D22" s="336">
        <f>IF(Records!F22="","",Records!F22)</f>
        <v/>
      </c>
      <c r="E22" s="337">
        <f>IF(AND(COUNTIFS(Participants!$A$3:$A$26,Records!A22,Participants!$V$3:$V$26,"是")=1,Records!AB22="是",Records!AC22="是",Records!AD22="是",COUNT(Records!K22,Records!L22,Records!M22,Records!O22,Records!P22,Records!Q22,Records!R22,Records!S22,Records!T22,Records!U22,Records!V22,Records!W22,Records!X22)=13),"是","否")</f>
        <v/>
      </c>
      <c r="F22" s="336">
        <f>IF(Records!K22="","",Records!K22)</f>
        <v/>
      </c>
      <c r="G22" s="336">
        <f>IF(Records!R22="","",Records!R22)</f>
        <v/>
      </c>
      <c r="H22" s="336">
        <f>IF(Records!L22="","",Records!L22)</f>
        <v/>
      </c>
      <c r="I22" s="336">
        <f>IF(Records!M22="","",Records!M22)</f>
        <v/>
      </c>
      <c r="J22" s="336">
        <f>IF(Records!Q22="","",Records!Q22)</f>
        <v/>
      </c>
      <c r="K22" s="336">
        <f>IF(Records!W22="","",Records!W22)</f>
        <v/>
      </c>
      <c r="L22" s="336">
        <f>IF(Records!X22="","",Records!X22)</f>
        <v/>
      </c>
      <c r="M22" s="336">
        <f>IF(COUNT(Records!S22,Records!T22,Records!U22)=3,AVERAGE(Records!S22,Records!T22,Records!U22),"")</f>
        <v/>
      </c>
      <c r="N22" s="336">
        <f>IF(COUNT(Records!V22,Records!O22,Records!P22)=3,AVERAGE(Records!V22,Records!O22,Records!P22),"")</f>
        <v/>
      </c>
      <c r="O22" s="336">
        <f>IF(Records!N22="","",Records!N22)</f>
        <v/>
      </c>
      <c r="P22" s="337">
        <f>IF(Records!AA22="","",IF(Records!AA22&gt;150,"是","否"))</f>
        <v/>
      </c>
      <c r="Q22" s="337">
        <f>IF(COUNT(Records!K22,Records!L22,Records!M22,Records!O22,Records!P22,Records!Q22,Records!R22,Records!S22,Records!T22,Records!U22,Records!V22,Records!W22,Records!X22)&lt;13,"",IF(OR(AND(Records!K22=Records!L22,Records!L22=Records!M22,Records!M22=Records!O22,Records!O22=Records!P22),AND(Records!L22=Records!M22,Records!M22=Records!O22,Records!O22=Records!P22,Records!P22=Records!Q22),AND(Records!M22=Records!O22,Records!O22=Records!P22,Records!P22=Records!Q22,Records!Q22=Records!R22),AND(Records!O22=Records!P22,Records!P22=Records!Q22,Records!Q22=Records!R22,Records!R22=Records!S22),AND(Records!P22=Records!Q22,Records!Q22=Records!R22,Records!R22=Records!S22,Records!S22=Records!T22),AND(Records!Q22=Records!R22,Records!R22=Records!S22,Records!S22=Records!T22,Records!T22=Records!U22),AND(Records!R22=Records!S22,Records!S22=Records!T22,Records!T22=Records!U22,Records!U22=Records!V22),AND(Records!S22=Records!T22,Records!T22=Records!U22,Records!U22=Records!V22,Records!V22=Records!W22),AND(Records!T22=Records!U22,Records!U22=Records!V22,Records!V22=Records!W22,Records!W22=Records!X22)),"是","否"))</f>
        <v/>
      </c>
      <c r="R22" s="336">
        <f>IF(Records!AF22="","",Records!AF22)</f>
        <v/>
      </c>
      <c r="S22" s="336">
        <f>IF(Records!AG22="","",Records!AG22)</f>
        <v/>
      </c>
      <c r="T22" s="336">
        <f>IF(Records!AH22="","",Records!AH22)</f>
        <v/>
      </c>
      <c r="U22" s="336">
        <f>IF(Records!AI22="","",Records!AI22)</f>
        <v/>
      </c>
      <c r="V22" s="336">
        <f>IF(Records!AJ22="","",Records!AJ22)</f>
        <v/>
      </c>
      <c r="W22" s="336">
        <f>IF(Records!AK22="","",Records!AK22)</f>
        <v/>
      </c>
      <c r="X22" s="336">
        <f>IF(Records!AL22="","",Records!AL22)</f>
        <v/>
      </c>
      <c r="Y22" s="336">
        <f>IF(Records!AM22="","",Records!AM22)</f>
        <v/>
      </c>
      <c r="Z22" s="336">
        <f>IF(Records!AN22="","",Records!AN22)</f>
        <v/>
      </c>
    </row>
    <row r="23">
      <c r="A23" s="335">
        <f>IF(Records!A23="","",Records!A23)</f>
        <v/>
      </c>
      <c r="B23" s="335">
        <f>IF(Records!B23="","",Records!B23)</f>
        <v/>
      </c>
      <c r="C23" s="336">
        <f>IF(Records!H23="","",Records!H23)</f>
        <v/>
      </c>
      <c r="D23" s="336">
        <f>IF(Records!F23="","",Records!F23)</f>
        <v/>
      </c>
      <c r="E23" s="337">
        <f>IF(AND(COUNTIFS(Participants!$A$3:$A$26,Records!A23,Participants!$V$3:$V$26,"是")=1,Records!AB23="是",Records!AC23="是",Records!AD23="是",COUNT(Records!K23,Records!L23,Records!M23,Records!O23,Records!P23,Records!Q23,Records!R23,Records!S23,Records!T23,Records!U23,Records!V23,Records!W23,Records!X23)=13),"是","否")</f>
        <v/>
      </c>
      <c r="F23" s="336">
        <f>IF(Records!K23="","",Records!K23)</f>
        <v/>
      </c>
      <c r="G23" s="336">
        <f>IF(Records!R23="","",Records!R23)</f>
        <v/>
      </c>
      <c r="H23" s="336">
        <f>IF(Records!L23="","",Records!L23)</f>
        <v/>
      </c>
      <c r="I23" s="336">
        <f>IF(Records!M23="","",Records!M23)</f>
        <v/>
      </c>
      <c r="J23" s="336">
        <f>IF(Records!Q23="","",Records!Q23)</f>
        <v/>
      </c>
      <c r="K23" s="336">
        <f>IF(Records!W23="","",Records!W23)</f>
        <v/>
      </c>
      <c r="L23" s="336">
        <f>IF(Records!X23="","",Records!X23)</f>
        <v/>
      </c>
      <c r="M23" s="336">
        <f>IF(COUNT(Records!S23,Records!T23,Records!U23)=3,AVERAGE(Records!S23,Records!T23,Records!U23),"")</f>
        <v/>
      </c>
      <c r="N23" s="336">
        <f>IF(COUNT(Records!V23,Records!O23,Records!P23)=3,AVERAGE(Records!V23,Records!O23,Records!P23),"")</f>
        <v/>
      </c>
      <c r="O23" s="336">
        <f>IF(Records!N23="","",Records!N23)</f>
        <v/>
      </c>
      <c r="P23" s="337">
        <f>IF(Records!AA23="","",IF(Records!AA23&gt;150,"是","否"))</f>
        <v/>
      </c>
      <c r="Q23" s="337">
        <f>IF(COUNT(Records!K23,Records!L23,Records!M23,Records!O23,Records!P23,Records!Q23,Records!R23,Records!S23,Records!T23,Records!U23,Records!V23,Records!W23,Records!X23)&lt;13,"",IF(OR(AND(Records!K23=Records!L23,Records!L23=Records!M23,Records!M23=Records!O23,Records!O23=Records!P23),AND(Records!L23=Records!M23,Records!M23=Records!O23,Records!O23=Records!P23,Records!P23=Records!Q23),AND(Records!M23=Records!O23,Records!O23=Records!P23,Records!P23=Records!Q23,Records!Q23=Records!R23),AND(Records!O23=Records!P23,Records!P23=Records!Q23,Records!Q23=Records!R23,Records!R23=Records!S23),AND(Records!P23=Records!Q23,Records!Q23=Records!R23,Records!R23=Records!S23,Records!S23=Records!T23),AND(Records!Q23=Records!R23,Records!R23=Records!S23,Records!S23=Records!T23,Records!T23=Records!U23),AND(Records!R23=Records!S23,Records!S23=Records!T23,Records!T23=Records!U23,Records!U23=Records!V23),AND(Records!S23=Records!T23,Records!T23=Records!U23,Records!U23=Records!V23,Records!V23=Records!W23),AND(Records!T23=Records!U23,Records!U23=Records!V23,Records!V23=Records!W23,Records!W23=Records!X23)),"是","否"))</f>
        <v/>
      </c>
      <c r="R23" s="336">
        <f>IF(Records!AF23="","",Records!AF23)</f>
        <v/>
      </c>
      <c r="S23" s="336">
        <f>IF(Records!AG23="","",Records!AG23)</f>
        <v/>
      </c>
      <c r="T23" s="336">
        <f>IF(Records!AH23="","",Records!AH23)</f>
        <v/>
      </c>
      <c r="U23" s="336">
        <f>IF(Records!AI23="","",Records!AI23)</f>
        <v/>
      </c>
      <c r="V23" s="336">
        <f>IF(Records!AJ23="","",Records!AJ23)</f>
        <v/>
      </c>
      <c r="W23" s="336">
        <f>IF(Records!AK23="","",Records!AK23)</f>
        <v/>
      </c>
      <c r="X23" s="336">
        <f>IF(Records!AL23="","",Records!AL23)</f>
        <v/>
      </c>
      <c r="Y23" s="336">
        <f>IF(Records!AM23="","",Records!AM23)</f>
        <v/>
      </c>
      <c r="Z23" s="336">
        <f>IF(Records!AN23="","",Records!AN23)</f>
        <v/>
      </c>
    </row>
    <row r="24">
      <c r="A24" s="335">
        <f>IF(Records!A24="","",Records!A24)</f>
        <v/>
      </c>
      <c r="B24" s="335">
        <f>IF(Records!B24="","",Records!B24)</f>
        <v/>
      </c>
      <c r="C24" s="336">
        <f>IF(Records!H24="","",Records!H24)</f>
        <v/>
      </c>
      <c r="D24" s="336">
        <f>IF(Records!F24="","",Records!F24)</f>
        <v/>
      </c>
      <c r="E24" s="337">
        <f>IF(AND(COUNTIFS(Participants!$A$3:$A$26,Records!A24,Participants!$V$3:$V$26,"是")=1,Records!AB24="是",Records!AC24="是",Records!AD24="是",COUNT(Records!K24,Records!L24,Records!M24,Records!O24,Records!P24,Records!Q24,Records!R24,Records!S24,Records!T24,Records!U24,Records!V24,Records!W24,Records!X24)=13),"是","否")</f>
        <v/>
      </c>
      <c r="F24" s="336">
        <f>IF(Records!K24="","",Records!K24)</f>
        <v/>
      </c>
      <c r="G24" s="336">
        <f>IF(Records!R24="","",Records!R24)</f>
        <v/>
      </c>
      <c r="H24" s="336">
        <f>IF(Records!L24="","",Records!L24)</f>
        <v/>
      </c>
      <c r="I24" s="336">
        <f>IF(Records!M24="","",Records!M24)</f>
        <v/>
      </c>
      <c r="J24" s="336">
        <f>IF(Records!Q24="","",Records!Q24)</f>
        <v/>
      </c>
      <c r="K24" s="336">
        <f>IF(Records!W24="","",Records!W24)</f>
        <v/>
      </c>
      <c r="L24" s="336">
        <f>IF(Records!X24="","",Records!X24)</f>
        <v/>
      </c>
      <c r="M24" s="336">
        <f>IF(COUNT(Records!S24,Records!T24,Records!U24)=3,AVERAGE(Records!S24,Records!T24,Records!U24),"")</f>
        <v/>
      </c>
      <c r="N24" s="336">
        <f>IF(COUNT(Records!V24,Records!O24,Records!P24)=3,AVERAGE(Records!V24,Records!O24,Records!P24),"")</f>
        <v/>
      </c>
      <c r="O24" s="336">
        <f>IF(Records!N24="","",Records!N24)</f>
        <v/>
      </c>
      <c r="P24" s="337">
        <f>IF(Records!AA24="","",IF(Records!AA24&gt;150,"是","否"))</f>
        <v/>
      </c>
      <c r="Q24" s="337">
        <f>IF(COUNT(Records!K24,Records!L24,Records!M24,Records!O24,Records!P24,Records!Q24,Records!R24,Records!S24,Records!T24,Records!U24,Records!V24,Records!W24,Records!X24)&lt;13,"",IF(OR(AND(Records!K24=Records!L24,Records!L24=Records!M24,Records!M24=Records!O24,Records!O24=Records!P24),AND(Records!L24=Records!M24,Records!M24=Records!O24,Records!O24=Records!P24,Records!P24=Records!Q24),AND(Records!M24=Records!O24,Records!O24=Records!P24,Records!P24=Records!Q24,Records!Q24=Records!R24),AND(Records!O24=Records!P24,Records!P24=Records!Q24,Records!Q24=Records!R24,Records!R24=Records!S24),AND(Records!P24=Records!Q24,Records!Q24=Records!R24,Records!R24=Records!S24,Records!S24=Records!T24),AND(Records!Q24=Records!R24,Records!R24=Records!S24,Records!S24=Records!T24,Records!T24=Records!U24),AND(Records!R24=Records!S24,Records!S24=Records!T24,Records!T24=Records!U24,Records!U24=Records!V24),AND(Records!S24=Records!T24,Records!T24=Records!U24,Records!U24=Records!V24,Records!V24=Records!W24),AND(Records!T24=Records!U24,Records!U24=Records!V24,Records!V24=Records!W24,Records!W24=Records!X24)),"是","否"))</f>
        <v/>
      </c>
      <c r="R24" s="336">
        <f>IF(Records!AF24="","",Records!AF24)</f>
        <v/>
      </c>
      <c r="S24" s="336">
        <f>IF(Records!AG24="","",Records!AG24)</f>
        <v/>
      </c>
      <c r="T24" s="336">
        <f>IF(Records!AH24="","",Records!AH24)</f>
        <v/>
      </c>
      <c r="U24" s="336">
        <f>IF(Records!AI24="","",Records!AI24)</f>
        <v/>
      </c>
      <c r="V24" s="336">
        <f>IF(Records!AJ24="","",Records!AJ24)</f>
        <v/>
      </c>
      <c r="W24" s="336">
        <f>IF(Records!AK24="","",Records!AK24)</f>
        <v/>
      </c>
      <c r="X24" s="336">
        <f>IF(Records!AL24="","",Records!AL24)</f>
        <v/>
      </c>
      <c r="Y24" s="336">
        <f>IF(Records!AM24="","",Records!AM24)</f>
        <v/>
      </c>
      <c r="Z24" s="336">
        <f>IF(Records!AN24="","",Records!AN24)</f>
        <v/>
      </c>
    </row>
    <row r="25">
      <c r="A25" s="335">
        <f>IF(Records!A25="","",Records!A25)</f>
        <v/>
      </c>
      <c r="B25" s="335">
        <f>IF(Records!B25="","",Records!B25)</f>
        <v/>
      </c>
      <c r="C25" s="336">
        <f>IF(Records!H25="","",Records!H25)</f>
        <v/>
      </c>
      <c r="D25" s="336">
        <f>IF(Records!F25="","",Records!F25)</f>
        <v/>
      </c>
      <c r="E25" s="337">
        <f>IF(AND(COUNTIFS(Participants!$A$3:$A$26,Records!A25,Participants!$V$3:$V$26,"是")=1,Records!AB25="是",Records!AC25="是",Records!AD25="是",COUNT(Records!K25,Records!L25,Records!M25,Records!O25,Records!P25,Records!Q25,Records!R25,Records!S25,Records!T25,Records!U25,Records!V25,Records!W25,Records!X25)=13),"是","否")</f>
        <v/>
      </c>
      <c r="F25" s="336">
        <f>IF(Records!K25="","",Records!K25)</f>
        <v/>
      </c>
      <c r="G25" s="336">
        <f>IF(Records!R25="","",Records!R25)</f>
        <v/>
      </c>
      <c r="H25" s="336">
        <f>IF(Records!L25="","",Records!L25)</f>
        <v/>
      </c>
      <c r="I25" s="336">
        <f>IF(Records!M25="","",Records!M25)</f>
        <v/>
      </c>
      <c r="J25" s="336">
        <f>IF(Records!Q25="","",Records!Q25)</f>
        <v/>
      </c>
      <c r="K25" s="336">
        <f>IF(Records!W25="","",Records!W25)</f>
        <v/>
      </c>
      <c r="L25" s="336">
        <f>IF(Records!X25="","",Records!X25)</f>
        <v/>
      </c>
      <c r="M25" s="336">
        <f>IF(COUNT(Records!S25,Records!T25,Records!U25)=3,AVERAGE(Records!S25,Records!T25,Records!U25),"")</f>
        <v/>
      </c>
      <c r="N25" s="336">
        <f>IF(COUNT(Records!V25,Records!O25,Records!P25)=3,AVERAGE(Records!V25,Records!O25,Records!P25),"")</f>
        <v/>
      </c>
      <c r="O25" s="336">
        <f>IF(Records!N25="","",Records!N25)</f>
        <v/>
      </c>
      <c r="P25" s="337">
        <f>IF(Records!AA25="","",IF(Records!AA25&gt;150,"是","否"))</f>
        <v/>
      </c>
      <c r="Q25" s="337">
        <f>IF(COUNT(Records!K25,Records!L25,Records!M25,Records!O25,Records!P25,Records!Q25,Records!R25,Records!S25,Records!T25,Records!U25,Records!V25,Records!W25,Records!X25)&lt;13,"",IF(OR(AND(Records!K25=Records!L25,Records!L25=Records!M25,Records!M25=Records!O25,Records!O25=Records!P25),AND(Records!L25=Records!M25,Records!M25=Records!O25,Records!O25=Records!P25,Records!P25=Records!Q25),AND(Records!M25=Records!O25,Records!O25=Records!P25,Records!P25=Records!Q25,Records!Q25=Records!R25),AND(Records!O25=Records!P25,Records!P25=Records!Q25,Records!Q25=Records!R25,Records!R25=Records!S25),AND(Records!P25=Records!Q25,Records!Q25=Records!R25,Records!R25=Records!S25,Records!S25=Records!T25),AND(Records!Q25=Records!R25,Records!R25=Records!S25,Records!S25=Records!T25,Records!T25=Records!U25),AND(Records!R25=Records!S25,Records!S25=Records!T25,Records!T25=Records!U25,Records!U25=Records!V25),AND(Records!S25=Records!T25,Records!T25=Records!U25,Records!U25=Records!V25,Records!V25=Records!W25),AND(Records!T25=Records!U25,Records!U25=Records!V25,Records!V25=Records!W25,Records!W25=Records!X25)),"是","否"))</f>
        <v/>
      </c>
      <c r="R25" s="336">
        <f>IF(Records!AF25="","",Records!AF25)</f>
        <v/>
      </c>
      <c r="S25" s="336">
        <f>IF(Records!AG25="","",Records!AG25)</f>
        <v/>
      </c>
      <c r="T25" s="336">
        <f>IF(Records!AH25="","",Records!AH25)</f>
        <v/>
      </c>
      <c r="U25" s="336">
        <f>IF(Records!AI25="","",Records!AI25)</f>
        <v/>
      </c>
      <c r="V25" s="336">
        <f>IF(Records!AJ25="","",Records!AJ25)</f>
        <v/>
      </c>
      <c r="W25" s="336">
        <f>IF(Records!AK25="","",Records!AK25)</f>
        <v/>
      </c>
      <c r="X25" s="336">
        <f>IF(Records!AL25="","",Records!AL25)</f>
        <v/>
      </c>
      <c r="Y25" s="336">
        <f>IF(Records!AM25="","",Records!AM25)</f>
        <v/>
      </c>
      <c r="Z25" s="336">
        <f>IF(Records!AN25="","",Records!AN25)</f>
        <v/>
      </c>
    </row>
    <row r="26">
      <c r="A26" s="335">
        <f>IF(Records!A26="","",Records!A26)</f>
        <v/>
      </c>
      <c r="B26" s="335">
        <f>IF(Records!B26="","",Records!B26)</f>
        <v/>
      </c>
      <c r="C26" s="336">
        <f>IF(Records!H26="","",Records!H26)</f>
        <v/>
      </c>
      <c r="D26" s="336">
        <f>IF(Records!F26="","",Records!F26)</f>
        <v/>
      </c>
      <c r="E26" s="337">
        <f>IF(AND(COUNTIFS(Participants!$A$3:$A$26,Records!A26,Participants!$V$3:$V$26,"是")=1,Records!AB26="是",Records!AC26="是",Records!AD26="是",COUNT(Records!K26,Records!L26,Records!M26,Records!O26,Records!P26,Records!Q26,Records!R26,Records!S26,Records!T26,Records!U26,Records!V26,Records!W26,Records!X26)=13),"是","否")</f>
        <v/>
      </c>
      <c r="F26" s="336">
        <f>IF(Records!K26="","",Records!K26)</f>
        <v/>
      </c>
      <c r="G26" s="336">
        <f>IF(Records!R26="","",Records!R26)</f>
        <v/>
      </c>
      <c r="H26" s="336">
        <f>IF(Records!L26="","",Records!L26)</f>
        <v/>
      </c>
      <c r="I26" s="336">
        <f>IF(Records!M26="","",Records!M26)</f>
        <v/>
      </c>
      <c r="J26" s="336">
        <f>IF(Records!Q26="","",Records!Q26)</f>
        <v/>
      </c>
      <c r="K26" s="336">
        <f>IF(Records!W26="","",Records!W26)</f>
        <v/>
      </c>
      <c r="L26" s="336">
        <f>IF(Records!X26="","",Records!X26)</f>
        <v/>
      </c>
      <c r="M26" s="336">
        <f>IF(COUNT(Records!S26,Records!T26,Records!U26)=3,AVERAGE(Records!S26,Records!T26,Records!U26),"")</f>
        <v/>
      </c>
      <c r="N26" s="336">
        <f>IF(COUNT(Records!V26,Records!O26,Records!P26)=3,AVERAGE(Records!V26,Records!O26,Records!P26),"")</f>
        <v/>
      </c>
      <c r="O26" s="336">
        <f>IF(Records!N26="","",Records!N26)</f>
        <v/>
      </c>
      <c r="P26" s="337">
        <f>IF(Records!AA26="","",IF(Records!AA26&gt;150,"是","否"))</f>
        <v/>
      </c>
      <c r="Q26" s="337">
        <f>IF(COUNT(Records!K26,Records!L26,Records!M26,Records!O26,Records!P26,Records!Q26,Records!R26,Records!S26,Records!T26,Records!U26,Records!V26,Records!W26,Records!X26)&lt;13,"",IF(OR(AND(Records!K26=Records!L26,Records!L26=Records!M26,Records!M26=Records!O26,Records!O26=Records!P26),AND(Records!L26=Records!M26,Records!M26=Records!O26,Records!O26=Records!P26,Records!P26=Records!Q26),AND(Records!M26=Records!O26,Records!O26=Records!P26,Records!P26=Records!Q26,Records!Q26=Records!R26),AND(Records!O26=Records!P26,Records!P26=Records!Q26,Records!Q26=Records!R26,Records!R26=Records!S26),AND(Records!P26=Records!Q26,Records!Q26=Records!R26,Records!R26=Records!S26,Records!S26=Records!T26),AND(Records!Q26=Records!R26,Records!R26=Records!S26,Records!S26=Records!T26,Records!T26=Records!U26),AND(Records!R26=Records!S26,Records!S26=Records!T26,Records!T26=Records!U26,Records!U26=Records!V26),AND(Records!S26=Records!T26,Records!T26=Records!U26,Records!U26=Records!V26,Records!V26=Records!W26),AND(Records!T26=Records!U26,Records!U26=Records!V26,Records!V26=Records!W26,Records!W26=Records!X26)),"是","否"))</f>
        <v/>
      </c>
      <c r="R26" s="336">
        <f>IF(Records!AF26="","",Records!AF26)</f>
        <v/>
      </c>
      <c r="S26" s="336">
        <f>IF(Records!AG26="","",Records!AG26)</f>
        <v/>
      </c>
      <c r="T26" s="336">
        <f>IF(Records!AH26="","",Records!AH26)</f>
        <v/>
      </c>
      <c r="U26" s="336">
        <f>IF(Records!AI26="","",Records!AI26)</f>
        <v/>
      </c>
      <c r="V26" s="336">
        <f>IF(Records!AJ26="","",Records!AJ26)</f>
        <v/>
      </c>
      <c r="W26" s="336">
        <f>IF(Records!AK26="","",Records!AK26)</f>
        <v/>
      </c>
      <c r="X26" s="336">
        <f>IF(Records!AL26="","",Records!AL26)</f>
        <v/>
      </c>
      <c r="Y26" s="336">
        <f>IF(Records!AM26="","",Records!AM26)</f>
        <v/>
      </c>
      <c r="Z26" s="336">
        <f>IF(Records!AN26="","",Records!AN26)</f>
        <v/>
      </c>
    </row>
    <row r="27">
      <c r="A27" s="335">
        <f>IF(Records!A27="","",Records!A27)</f>
        <v/>
      </c>
      <c r="B27" s="335">
        <f>IF(Records!B27="","",Records!B27)</f>
        <v/>
      </c>
      <c r="C27" s="336">
        <f>IF(Records!H27="","",Records!H27)</f>
        <v/>
      </c>
      <c r="D27" s="336">
        <f>IF(Records!F27="","",Records!F27)</f>
        <v/>
      </c>
      <c r="E27" s="337">
        <f>IF(AND(COUNTIFS(Participants!$A$3:$A$26,Records!A27,Participants!$V$3:$V$26,"是")=1,Records!AB27="是",Records!AC27="是",Records!AD27="是",COUNT(Records!K27,Records!L27,Records!M27,Records!O27,Records!P27,Records!Q27,Records!R27,Records!S27,Records!T27,Records!U27,Records!V27,Records!W27,Records!X27)=13),"是","否")</f>
        <v/>
      </c>
      <c r="F27" s="336">
        <f>IF(Records!K27="","",Records!K27)</f>
        <v/>
      </c>
      <c r="G27" s="336">
        <f>IF(Records!R27="","",Records!R27)</f>
        <v/>
      </c>
      <c r="H27" s="336">
        <f>IF(Records!L27="","",Records!L27)</f>
        <v/>
      </c>
      <c r="I27" s="336">
        <f>IF(Records!M27="","",Records!M27)</f>
        <v/>
      </c>
      <c r="J27" s="336">
        <f>IF(Records!Q27="","",Records!Q27)</f>
        <v/>
      </c>
      <c r="K27" s="336">
        <f>IF(Records!W27="","",Records!W27)</f>
        <v/>
      </c>
      <c r="L27" s="336">
        <f>IF(Records!X27="","",Records!X27)</f>
        <v/>
      </c>
      <c r="M27" s="336">
        <f>IF(COUNT(Records!S27,Records!T27,Records!U27)=3,AVERAGE(Records!S27,Records!T27,Records!U27),"")</f>
        <v/>
      </c>
      <c r="N27" s="336">
        <f>IF(COUNT(Records!V27,Records!O27,Records!P27)=3,AVERAGE(Records!V27,Records!O27,Records!P27),"")</f>
        <v/>
      </c>
      <c r="O27" s="336">
        <f>IF(Records!N27="","",Records!N27)</f>
        <v/>
      </c>
      <c r="P27" s="337">
        <f>IF(Records!AA27="","",IF(Records!AA27&gt;150,"是","否"))</f>
        <v/>
      </c>
      <c r="Q27" s="337">
        <f>IF(COUNT(Records!K27,Records!L27,Records!M27,Records!O27,Records!P27,Records!Q27,Records!R27,Records!S27,Records!T27,Records!U27,Records!V27,Records!W27,Records!X27)&lt;13,"",IF(OR(AND(Records!K27=Records!L27,Records!L27=Records!M27,Records!M27=Records!O27,Records!O27=Records!P27),AND(Records!L27=Records!M27,Records!M27=Records!O27,Records!O27=Records!P27,Records!P27=Records!Q27),AND(Records!M27=Records!O27,Records!O27=Records!P27,Records!P27=Records!Q27,Records!Q27=Records!R27),AND(Records!O27=Records!P27,Records!P27=Records!Q27,Records!Q27=Records!R27,Records!R27=Records!S27),AND(Records!P27=Records!Q27,Records!Q27=Records!R27,Records!R27=Records!S27,Records!S27=Records!T27),AND(Records!Q27=Records!R27,Records!R27=Records!S27,Records!S27=Records!T27,Records!T27=Records!U27),AND(Records!R27=Records!S27,Records!S27=Records!T27,Records!T27=Records!U27,Records!U27=Records!V27),AND(Records!S27=Records!T27,Records!T27=Records!U27,Records!U27=Records!V27,Records!V27=Records!W27),AND(Records!T27=Records!U27,Records!U27=Records!V27,Records!V27=Records!W27,Records!W27=Records!X27)),"是","否"))</f>
        <v/>
      </c>
      <c r="R27" s="336">
        <f>IF(Records!AF27="","",Records!AF27)</f>
        <v/>
      </c>
      <c r="S27" s="336">
        <f>IF(Records!AG27="","",Records!AG27)</f>
        <v/>
      </c>
      <c r="T27" s="336">
        <f>IF(Records!AH27="","",Records!AH27)</f>
        <v/>
      </c>
      <c r="U27" s="336">
        <f>IF(Records!AI27="","",Records!AI27)</f>
        <v/>
      </c>
      <c r="V27" s="336">
        <f>IF(Records!AJ27="","",Records!AJ27)</f>
        <v/>
      </c>
      <c r="W27" s="336">
        <f>IF(Records!AK27="","",Records!AK27)</f>
        <v/>
      </c>
      <c r="X27" s="336">
        <f>IF(Records!AL27="","",Records!AL27)</f>
        <v/>
      </c>
      <c r="Y27" s="336">
        <f>IF(Records!AM27="","",Records!AM27)</f>
        <v/>
      </c>
      <c r="Z27" s="336">
        <f>IF(Records!AN27="","",Records!AN27)</f>
        <v/>
      </c>
    </row>
    <row r="28">
      <c r="A28" s="335">
        <f>IF(Records!A28="","",Records!A28)</f>
        <v/>
      </c>
      <c r="B28" s="335">
        <f>IF(Records!B28="","",Records!B28)</f>
        <v/>
      </c>
      <c r="C28" s="336">
        <f>IF(Records!H28="","",Records!H28)</f>
        <v/>
      </c>
      <c r="D28" s="336">
        <f>IF(Records!F28="","",Records!F28)</f>
        <v/>
      </c>
      <c r="E28" s="337">
        <f>IF(AND(COUNTIFS(Participants!$A$3:$A$26,Records!A28,Participants!$V$3:$V$26,"是")=1,Records!AB28="是",Records!AC28="是",Records!AD28="是",COUNT(Records!K28,Records!L28,Records!M28,Records!O28,Records!P28,Records!Q28,Records!R28,Records!S28,Records!T28,Records!U28,Records!V28,Records!W28,Records!X28)=13),"是","否")</f>
        <v/>
      </c>
      <c r="F28" s="336">
        <f>IF(Records!K28="","",Records!K28)</f>
        <v/>
      </c>
      <c r="G28" s="336">
        <f>IF(Records!R28="","",Records!R28)</f>
        <v/>
      </c>
      <c r="H28" s="336">
        <f>IF(Records!L28="","",Records!L28)</f>
        <v/>
      </c>
      <c r="I28" s="336">
        <f>IF(Records!M28="","",Records!M28)</f>
        <v/>
      </c>
      <c r="J28" s="336">
        <f>IF(Records!Q28="","",Records!Q28)</f>
        <v/>
      </c>
      <c r="K28" s="336">
        <f>IF(Records!W28="","",Records!W28)</f>
        <v/>
      </c>
      <c r="L28" s="336">
        <f>IF(Records!X28="","",Records!X28)</f>
        <v/>
      </c>
      <c r="M28" s="336">
        <f>IF(COUNT(Records!S28,Records!T28,Records!U28)=3,AVERAGE(Records!S28,Records!T28,Records!U28),"")</f>
        <v/>
      </c>
      <c r="N28" s="336">
        <f>IF(COUNT(Records!V28,Records!O28,Records!P28)=3,AVERAGE(Records!V28,Records!O28,Records!P28),"")</f>
        <v/>
      </c>
      <c r="O28" s="336">
        <f>IF(Records!N28="","",Records!N28)</f>
        <v/>
      </c>
      <c r="P28" s="337">
        <f>IF(Records!AA28="","",IF(Records!AA28&gt;150,"是","否"))</f>
        <v/>
      </c>
      <c r="Q28" s="337">
        <f>IF(COUNT(Records!K28,Records!L28,Records!M28,Records!O28,Records!P28,Records!Q28,Records!R28,Records!S28,Records!T28,Records!U28,Records!V28,Records!W28,Records!X28)&lt;13,"",IF(OR(AND(Records!K28=Records!L28,Records!L28=Records!M28,Records!M28=Records!O28,Records!O28=Records!P28),AND(Records!L28=Records!M28,Records!M28=Records!O28,Records!O28=Records!P28,Records!P28=Records!Q28),AND(Records!M28=Records!O28,Records!O28=Records!P28,Records!P28=Records!Q28,Records!Q28=Records!R28),AND(Records!O28=Records!P28,Records!P28=Records!Q28,Records!Q28=Records!R28,Records!R28=Records!S28),AND(Records!P28=Records!Q28,Records!Q28=Records!R28,Records!R28=Records!S28,Records!S28=Records!T28),AND(Records!Q28=Records!R28,Records!R28=Records!S28,Records!S28=Records!T28,Records!T28=Records!U28),AND(Records!R28=Records!S28,Records!S28=Records!T28,Records!T28=Records!U28,Records!U28=Records!V28),AND(Records!S28=Records!T28,Records!T28=Records!U28,Records!U28=Records!V28,Records!V28=Records!W28),AND(Records!T28=Records!U28,Records!U28=Records!V28,Records!V28=Records!W28,Records!W28=Records!X28)),"是","否"))</f>
        <v/>
      </c>
      <c r="R28" s="336">
        <f>IF(Records!AF28="","",Records!AF28)</f>
        <v/>
      </c>
      <c r="S28" s="336">
        <f>IF(Records!AG28="","",Records!AG28)</f>
        <v/>
      </c>
      <c r="T28" s="336">
        <f>IF(Records!AH28="","",Records!AH28)</f>
        <v/>
      </c>
      <c r="U28" s="336">
        <f>IF(Records!AI28="","",Records!AI28)</f>
        <v/>
      </c>
      <c r="V28" s="336">
        <f>IF(Records!AJ28="","",Records!AJ28)</f>
        <v/>
      </c>
      <c r="W28" s="336">
        <f>IF(Records!AK28="","",Records!AK28)</f>
        <v/>
      </c>
      <c r="X28" s="336">
        <f>IF(Records!AL28="","",Records!AL28)</f>
        <v/>
      </c>
      <c r="Y28" s="336">
        <f>IF(Records!AM28="","",Records!AM28)</f>
        <v/>
      </c>
      <c r="Z28" s="336">
        <f>IF(Records!AN28="","",Records!AN28)</f>
        <v/>
      </c>
    </row>
    <row r="29">
      <c r="A29" s="335">
        <f>IF(Records!A29="","",Records!A29)</f>
        <v/>
      </c>
      <c r="B29" s="335">
        <f>IF(Records!B29="","",Records!B29)</f>
        <v/>
      </c>
      <c r="C29" s="336">
        <f>IF(Records!H29="","",Records!H29)</f>
        <v/>
      </c>
      <c r="D29" s="336">
        <f>IF(Records!F29="","",Records!F29)</f>
        <v/>
      </c>
      <c r="E29" s="337">
        <f>IF(AND(COUNTIFS(Participants!$A$3:$A$26,Records!A29,Participants!$V$3:$V$26,"是")=1,Records!AB29="是",Records!AC29="是",Records!AD29="是",COUNT(Records!K29,Records!L29,Records!M29,Records!O29,Records!P29,Records!Q29,Records!R29,Records!S29,Records!T29,Records!U29,Records!V29,Records!W29,Records!X29)=13),"是","否")</f>
        <v/>
      </c>
      <c r="F29" s="336">
        <f>IF(Records!K29="","",Records!K29)</f>
        <v/>
      </c>
      <c r="G29" s="336">
        <f>IF(Records!R29="","",Records!R29)</f>
        <v/>
      </c>
      <c r="H29" s="336">
        <f>IF(Records!L29="","",Records!L29)</f>
        <v/>
      </c>
      <c r="I29" s="336">
        <f>IF(Records!M29="","",Records!M29)</f>
        <v/>
      </c>
      <c r="J29" s="336">
        <f>IF(Records!Q29="","",Records!Q29)</f>
        <v/>
      </c>
      <c r="K29" s="336">
        <f>IF(Records!W29="","",Records!W29)</f>
        <v/>
      </c>
      <c r="L29" s="336">
        <f>IF(Records!X29="","",Records!X29)</f>
        <v/>
      </c>
      <c r="M29" s="336">
        <f>IF(COUNT(Records!S29,Records!T29,Records!U29)=3,AVERAGE(Records!S29,Records!T29,Records!U29),"")</f>
        <v/>
      </c>
      <c r="N29" s="336">
        <f>IF(COUNT(Records!V29,Records!O29,Records!P29)=3,AVERAGE(Records!V29,Records!O29,Records!P29),"")</f>
        <v/>
      </c>
      <c r="O29" s="336">
        <f>IF(Records!N29="","",Records!N29)</f>
        <v/>
      </c>
      <c r="P29" s="337">
        <f>IF(Records!AA29="","",IF(Records!AA29&gt;150,"是","否"))</f>
        <v/>
      </c>
      <c r="Q29" s="337">
        <f>IF(COUNT(Records!K29,Records!L29,Records!M29,Records!O29,Records!P29,Records!Q29,Records!R29,Records!S29,Records!T29,Records!U29,Records!V29,Records!W29,Records!X29)&lt;13,"",IF(OR(AND(Records!K29=Records!L29,Records!L29=Records!M29,Records!M29=Records!O29,Records!O29=Records!P29),AND(Records!L29=Records!M29,Records!M29=Records!O29,Records!O29=Records!P29,Records!P29=Records!Q29),AND(Records!M29=Records!O29,Records!O29=Records!P29,Records!P29=Records!Q29,Records!Q29=Records!R29),AND(Records!O29=Records!P29,Records!P29=Records!Q29,Records!Q29=Records!R29,Records!R29=Records!S29),AND(Records!P29=Records!Q29,Records!Q29=Records!R29,Records!R29=Records!S29,Records!S29=Records!T29),AND(Records!Q29=Records!R29,Records!R29=Records!S29,Records!S29=Records!T29,Records!T29=Records!U29),AND(Records!R29=Records!S29,Records!S29=Records!T29,Records!T29=Records!U29,Records!U29=Records!V29),AND(Records!S29=Records!T29,Records!T29=Records!U29,Records!U29=Records!V29,Records!V29=Records!W29),AND(Records!T29=Records!U29,Records!U29=Records!V29,Records!V29=Records!W29,Records!W29=Records!X29)),"是","否"))</f>
        <v/>
      </c>
      <c r="R29" s="336">
        <f>IF(Records!AF29="","",Records!AF29)</f>
        <v/>
      </c>
      <c r="S29" s="336">
        <f>IF(Records!AG29="","",Records!AG29)</f>
        <v/>
      </c>
      <c r="T29" s="336">
        <f>IF(Records!AH29="","",Records!AH29)</f>
        <v/>
      </c>
      <c r="U29" s="336">
        <f>IF(Records!AI29="","",Records!AI29)</f>
        <v/>
      </c>
      <c r="V29" s="336">
        <f>IF(Records!AJ29="","",Records!AJ29)</f>
        <v/>
      </c>
      <c r="W29" s="336">
        <f>IF(Records!AK29="","",Records!AK29)</f>
        <v/>
      </c>
      <c r="X29" s="336">
        <f>IF(Records!AL29="","",Records!AL29)</f>
        <v/>
      </c>
      <c r="Y29" s="336">
        <f>IF(Records!AM29="","",Records!AM29)</f>
        <v/>
      </c>
      <c r="Z29" s="336">
        <f>IF(Records!AN29="","",Records!AN29)</f>
        <v/>
      </c>
    </row>
    <row r="30">
      <c r="A30" s="335">
        <f>IF(Records!A30="","",Records!A30)</f>
        <v/>
      </c>
      <c r="B30" s="335">
        <f>IF(Records!B30="","",Records!B30)</f>
        <v/>
      </c>
      <c r="C30" s="336">
        <f>IF(Records!H30="","",Records!H30)</f>
        <v/>
      </c>
      <c r="D30" s="336">
        <f>IF(Records!F30="","",Records!F30)</f>
        <v/>
      </c>
      <c r="E30" s="337">
        <f>IF(AND(COUNTIFS(Participants!$A$3:$A$26,Records!A30,Participants!$V$3:$V$26,"是")=1,Records!AB30="是",Records!AC30="是",Records!AD30="是",COUNT(Records!K30,Records!L30,Records!M30,Records!O30,Records!P30,Records!Q30,Records!R30,Records!S30,Records!T30,Records!U30,Records!V30,Records!W30,Records!X30)=13),"是","否")</f>
        <v/>
      </c>
      <c r="F30" s="336">
        <f>IF(Records!K30="","",Records!K30)</f>
        <v/>
      </c>
      <c r="G30" s="336">
        <f>IF(Records!R30="","",Records!R30)</f>
        <v/>
      </c>
      <c r="H30" s="336">
        <f>IF(Records!L30="","",Records!L30)</f>
        <v/>
      </c>
      <c r="I30" s="336">
        <f>IF(Records!M30="","",Records!M30)</f>
        <v/>
      </c>
      <c r="J30" s="336">
        <f>IF(Records!Q30="","",Records!Q30)</f>
        <v/>
      </c>
      <c r="K30" s="336">
        <f>IF(Records!W30="","",Records!W30)</f>
        <v/>
      </c>
      <c r="L30" s="336">
        <f>IF(Records!X30="","",Records!X30)</f>
        <v/>
      </c>
      <c r="M30" s="336">
        <f>IF(COUNT(Records!S30,Records!T30,Records!U30)=3,AVERAGE(Records!S30,Records!T30,Records!U30),"")</f>
        <v/>
      </c>
      <c r="N30" s="336">
        <f>IF(COUNT(Records!V30,Records!O30,Records!P30)=3,AVERAGE(Records!V30,Records!O30,Records!P30),"")</f>
        <v/>
      </c>
      <c r="O30" s="336">
        <f>IF(Records!N30="","",Records!N30)</f>
        <v/>
      </c>
      <c r="P30" s="337">
        <f>IF(Records!AA30="","",IF(Records!AA30&gt;150,"是","否"))</f>
        <v/>
      </c>
      <c r="Q30" s="337">
        <f>IF(COUNT(Records!K30,Records!L30,Records!M30,Records!O30,Records!P30,Records!Q30,Records!R30,Records!S30,Records!T30,Records!U30,Records!V30,Records!W30,Records!X30)&lt;13,"",IF(OR(AND(Records!K30=Records!L30,Records!L30=Records!M30,Records!M30=Records!O30,Records!O30=Records!P30),AND(Records!L30=Records!M30,Records!M30=Records!O30,Records!O30=Records!P30,Records!P30=Records!Q30),AND(Records!M30=Records!O30,Records!O30=Records!P30,Records!P30=Records!Q30,Records!Q30=Records!R30),AND(Records!O30=Records!P30,Records!P30=Records!Q30,Records!Q30=Records!R30,Records!R30=Records!S30),AND(Records!P30=Records!Q30,Records!Q30=Records!R30,Records!R30=Records!S30,Records!S30=Records!T30),AND(Records!Q30=Records!R30,Records!R30=Records!S30,Records!S30=Records!T30,Records!T30=Records!U30),AND(Records!R30=Records!S30,Records!S30=Records!T30,Records!T30=Records!U30,Records!U30=Records!V30),AND(Records!S30=Records!T30,Records!T30=Records!U30,Records!U30=Records!V30,Records!V30=Records!W30),AND(Records!T30=Records!U30,Records!U30=Records!V30,Records!V30=Records!W30,Records!W30=Records!X30)),"是","否"))</f>
        <v/>
      </c>
      <c r="R30" s="336">
        <f>IF(Records!AF30="","",Records!AF30)</f>
        <v/>
      </c>
      <c r="S30" s="336">
        <f>IF(Records!AG30="","",Records!AG30)</f>
        <v/>
      </c>
      <c r="T30" s="336">
        <f>IF(Records!AH30="","",Records!AH30)</f>
        <v/>
      </c>
      <c r="U30" s="336">
        <f>IF(Records!AI30="","",Records!AI30)</f>
        <v/>
      </c>
      <c r="V30" s="336">
        <f>IF(Records!AJ30="","",Records!AJ30)</f>
        <v/>
      </c>
      <c r="W30" s="336">
        <f>IF(Records!AK30="","",Records!AK30)</f>
        <v/>
      </c>
      <c r="X30" s="336">
        <f>IF(Records!AL30="","",Records!AL30)</f>
        <v/>
      </c>
      <c r="Y30" s="336">
        <f>IF(Records!AM30="","",Records!AM30)</f>
        <v/>
      </c>
      <c r="Z30" s="336">
        <f>IF(Records!AN30="","",Records!AN30)</f>
        <v/>
      </c>
    </row>
    <row r="31">
      <c r="A31" s="335">
        <f>IF(Records!A31="","",Records!A31)</f>
        <v/>
      </c>
      <c r="B31" s="335">
        <f>IF(Records!B31="","",Records!B31)</f>
        <v/>
      </c>
      <c r="C31" s="336">
        <f>IF(Records!H31="","",Records!H31)</f>
        <v/>
      </c>
      <c r="D31" s="336">
        <f>IF(Records!F31="","",Records!F31)</f>
        <v/>
      </c>
      <c r="E31" s="337">
        <f>IF(AND(COUNTIFS(Participants!$A$3:$A$26,Records!A31,Participants!$V$3:$V$26,"是")=1,Records!AB31="是",Records!AC31="是",Records!AD31="是",COUNT(Records!K31,Records!L31,Records!M31,Records!O31,Records!P31,Records!Q31,Records!R31,Records!S31,Records!T31,Records!U31,Records!V31,Records!W31,Records!X31)=13),"是","否")</f>
        <v/>
      </c>
      <c r="F31" s="336">
        <f>IF(Records!K31="","",Records!K31)</f>
        <v/>
      </c>
      <c r="G31" s="336">
        <f>IF(Records!R31="","",Records!R31)</f>
        <v/>
      </c>
      <c r="H31" s="336">
        <f>IF(Records!L31="","",Records!L31)</f>
        <v/>
      </c>
      <c r="I31" s="336">
        <f>IF(Records!M31="","",Records!M31)</f>
        <v/>
      </c>
      <c r="J31" s="336">
        <f>IF(Records!Q31="","",Records!Q31)</f>
        <v/>
      </c>
      <c r="K31" s="336">
        <f>IF(Records!W31="","",Records!W31)</f>
        <v/>
      </c>
      <c r="L31" s="336">
        <f>IF(Records!X31="","",Records!X31)</f>
        <v/>
      </c>
      <c r="M31" s="336">
        <f>IF(COUNT(Records!S31,Records!T31,Records!U31)=3,AVERAGE(Records!S31,Records!T31,Records!U31),"")</f>
        <v/>
      </c>
      <c r="N31" s="336">
        <f>IF(COUNT(Records!V31,Records!O31,Records!P31)=3,AVERAGE(Records!V31,Records!O31,Records!P31),"")</f>
        <v/>
      </c>
      <c r="O31" s="336">
        <f>IF(Records!N31="","",Records!N31)</f>
        <v/>
      </c>
      <c r="P31" s="337">
        <f>IF(Records!AA31="","",IF(Records!AA31&gt;150,"是","否"))</f>
        <v/>
      </c>
      <c r="Q31" s="337">
        <f>IF(COUNT(Records!K31,Records!L31,Records!M31,Records!O31,Records!P31,Records!Q31,Records!R31,Records!S31,Records!T31,Records!U31,Records!V31,Records!W31,Records!X31)&lt;13,"",IF(OR(AND(Records!K31=Records!L31,Records!L31=Records!M31,Records!M31=Records!O31,Records!O31=Records!P31),AND(Records!L31=Records!M31,Records!M31=Records!O31,Records!O31=Records!P31,Records!P31=Records!Q31),AND(Records!M31=Records!O31,Records!O31=Records!P31,Records!P31=Records!Q31,Records!Q31=Records!R31),AND(Records!O31=Records!P31,Records!P31=Records!Q31,Records!Q31=Records!R31,Records!R31=Records!S31),AND(Records!P31=Records!Q31,Records!Q31=Records!R31,Records!R31=Records!S31,Records!S31=Records!T31),AND(Records!Q31=Records!R31,Records!R31=Records!S31,Records!S31=Records!T31,Records!T31=Records!U31),AND(Records!R31=Records!S31,Records!S31=Records!T31,Records!T31=Records!U31,Records!U31=Records!V31),AND(Records!S31=Records!T31,Records!T31=Records!U31,Records!U31=Records!V31,Records!V31=Records!W31),AND(Records!T31=Records!U31,Records!U31=Records!V31,Records!V31=Records!W31,Records!W31=Records!X31)),"是","否"))</f>
        <v/>
      </c>
      <c r="R31" s="336">
        <f>IF(Records!AF31="","",Records!AF31)</f>
        <v/>
      </c>
      <c r="S31" s="336">
        <f>IF(Records!AG31="","",Records!AG31)</f>
        <v/>
      </c>
      <c r="T31" s="336">
        <f>IF(Records!AH31="","",Records!AH31)</f>
        <v/>
      </c>
      <c r="U31" s="336">
        <f>IF(Records!AI31="","",Records!AI31)</f>
        <v/>
      </c>
      <c r="V31" s="336">
        <f>IF(Records!AJ31="","",Records!AJ31)</f>
        <v/>
      </c>
      <c r="W31" s="336">
        <f>IF(Records!AK31="","",Records!AK31)</f>
        <v/>
      </c>
      <c r="X31" s="336">
        <f>IF(Records!AL31="","",Records!AL31)</f>
        <v/>
      </c>
      <c r="Y31" s="336">
        <f>IF(Records!AM31="","",Records!AM31)</f>
        <v/>
      </c>
      <c r="Z31" s="336">
        <f>IF(Records!AN31="","",Records!AN31)</f>
        <v/>
      </c>
    </row>
    <row r="32">
      <c r="A32" s="335">
        <f>IF(Records!A32="","",Records!A32)</f>
        <v/>
      </c>
      <c r="B32" s="335">
        <f>IF(Records!B32="","",Records!B32)</f>
        <v/>
      </c>
      <c r="C32" s="336">
        <f>IF(Records!H32="","",Records!H32)</f>
        <v/>
      </c>
      <c r="D32" s="336">
        <f>IF(Records!F32="","",Records!F32)</f>
        <v/>
      </c>
      <c r="E32" s="337">
        <f>IF(AND(COUNTIFS(Participants!$A$3:$A$26,Records!A32,Participants!$V$3:$V$26,"是")=1,Records!AB32="是",Records!AC32="是",Records!AD32="是",COUNT(Records!K32,Records!L32,Records!M32,Records!O32,Records!P32,Records!Q32,Records!R32,Records!S32,Records!T32,Records!U32,Records!V32,Records!W32,Records!X32)=13),"是","否")</f>
        <v/>
      </c>
      <c r="F32" s="336">
        <f>IF(Records!K32="","",Records!K32)</f>
        <v/>
      </c>
      <c r="G32" s="336">
        <f>IF(Records!R32="","",Records!R32)</f>
        <v/>
      </c>
      <c r="H32" s="336">
        <f>IF(Records!L32="","",Records!L32)</f>
        <v/>
      </c>
      <c r="I32" s="336">
        <f>IF(Records!M32="","",Records!M32)</f>
        <v/>
      </c>
      <c r="J32" s="336">
        <f>IF(Records!Q32="","",Records!Q32)</f>
        <v/>
      </c>
      <c r="K32" s="336">
        <f>IF(Records!W32="","",Records!W32)</f>
        <v/>
      </c>
      <c r="L32" s="336">
        <f>IF(Records!X32="","",Records!X32)</f>
        <v/>
      </c>
      <c r="M32" s="336">
        <f>IF(COUNT(Records!S32,Records!T32,Records!U32)=3,AVERAGE(Records!S32,Records!T32,Records!U32),"")</f>
        <v/>
      </c>
      <c r="N32" s="336">
        <f>IF(COUNT(Records!V32,Records!O32,Records!P32)=3,AVERAGE(Records!V32,Records!O32,Records!P32),"")</f>
        <v/>
      </c>
      <c r="O32" s="336">
        <f>IF(Records!N32="","",Records!N32)</f>
        <v/>
      </c>
      <c r="P32" s="337">
        <f>IF(Records!AA32="","",IF(Records!AA32&gt;150,"是","否"))</f>
        <v/>
      </c>
      <c r="Q32" s="337">
        <f>IF(COUNT(Records!K32,Records!L32,Records!M32,Records!O32,Records!P32,Records!Q32,Records!R32,Records!S32,Records!T32,Records!U32,Records!V32,Records!W32,Records!X32)&lt;13,"",IF(OR(AND(Records!K32=Records!L32,Records!L32=Records!M32,Records!M32=Records!O32,Records!O32=Records!P32),AND(Records!L32=Records!M32,Records!M32=Records!O32,Records!O32=Records!P32,Records!P32=Records!Q32),AND(Records!M32=Records!O32,Records!O32=Records!P32,Records!P32=Records!Q32,Records!Q32=Records!R32),AND(Records!O32=Records!P32,Records!P32=Records!Q32,Records!Q32=Records!R32,Records!R32=Records!S32),AND(Records!P32=Records!Q32,Records!Q32=Records!R32,Records!R32=Records!S32,Records!S32=Records!T32),AND(Records!Q32=Records!R32,Records!R32=Records!S32,Records!S32=Records!T32,Records!T32=Records!U32),AND(Records!R32=Records!S32,Records!S32=Records!T32,Records!T32=Records!U32,Records!U32=Records!V32),AND(Records!S32=Records!T32,Records!T32=Records!U32,Records!U32=Records!V32,Records!V32=Records!W32),AND(Records!T32=Records!U32,Records!U32=Records!V32,Records!V32=Records!W32,Records!W32=Records!X32)),"是","否"))</f>
        <v/>
      </c>
      <c r="R32" s="336">
        <f>IF(Records!AF32="","",Records!AF32)</f>
        <v/>
      </c>
      <c r="S32" s="336">
        <f>IF(Records!AG32="","",Records!AG32)</f>
        <v/>
      </c>
      <c r="T32" s="336">
        <f>IF(Records!AH32="","",Records!AH32)</f>
        <v/>
      </c>
      <c r="U32" s="336">
        <f>IF(Records!AI32="","",Records!AI32)</f>
        <v/>
      </c>
      <c r="V32" s="336">
        <f>IF(Records!AJ32="","",Records!AJ32)</f>
        <v/>
      </c>
      <c r="W32" s="336">
        <f>IF(Records!AK32="","",Records!AK32)</f>
        <v/>
      </c>
      <c r="X32" s="336">
        <f>IF(Records!AL32="","",Records!AL32)</f>
        <v/>
      </c>
      <c r="Y32" s="336">
        <f>IF(Records!AM32="","",Records!AM32)</f>
        <v/>
      </c>
      <c r="Z32" s="336">
        <f>IF(Records!AN32="","",Records!AN32)</f>
        <v/>
      </c>
    </row>
    <row r="33">
      <c r="A33" s="335">
        <f>IF(Records!A33="","",Records!A33)</f>
        <v/>
      </c>
      <c r="B33" s="335">
        <f>IF(Records!B33="","",Records!B33)</f>
        <v/>
      </c>
      <c r="C33" s="336">
        <f>IF(Records!H33="","",Records!H33)</f>
        <v/>
      </c>
      <c r="D33" s="336">
        <f>IF(Records!F33="","",Records!F33)</f>
        <v/>
      </c>
      <c r="E33" s="337">
        <f>IF(AND(COUNTIFS(Participants!$A$3:$A$26,Records!A33,Participants!$V$3:$V$26,"是")=1,Records!AB33="是",Records!AC33="是",Records!AD33="是",COUNT(Records!K33,Records!L33,Records!M33,Records!O33,Records!P33,Records!Q33,Records!R33,Records!S33,Records!T33,Records!U33,Records!V33,Records!W33,Records!X33)=13),"是","否")</f>
        <v/>
      </c>
      <c r="F33" s="336">
        <f>IF(Records!K33="","",Records!K33)</f>
        <v/>
      </c>
      <c r="G33" s="336">
        <f>IF(Records!R33="","",Records!R33)</f>
        <v/>
      </c>
      <c r="H33" s="336">
        <f>IF(Records!L33="","",Records!L33)</f>
        <v/>
      </c>
      <c r="I33" s="336">
        <f>IF(Records!M33="","",Records!M33)</f>
        <v/>
      </c>
      <c r="J33" s="336">
        <f>IF(Records!Q33="","",Records!Q33)</f>
        <v/>
      </c>
      <c r="K33" s="336">
        <f>IF(Records!W33="","",Records!W33)</f>
        <v/>
      </c>
      <c r="L33" s="336">
        <f>IF(Records!X33="","",Records!X33)</f>
        <v/>
      </c>
      <c r="M33" s="336">
        <f>IF(COUNT(Records!S33,Records!T33,Records!U33)=3,AVERAGE(Records!S33,Records!T33,Records!U33),"")</f>
        <v/>
      </c>
      <c r="N33" s="336">
        <f>IF(COUNT(Records!V33,Records!O33,Records!P33)=3,AVERAGE(Records!V33,Records!O33,Records!P33),"")</f>
        <v/>
      </c>
      <c r="O33" s="336">
        <f>IF(Records!N33="","",Records!N33)</f>
        <v/>
      </c>
      <c r="P33" s="337">
        <f>IF(Records!AA33="","",IF(Records!AA33&gt;150,"是","否"))</f>
        <v/>
      </c>
      <c r="Q33" s="337">
        <f>IF(COUNT(Records!K33,Records!L33,Records!M33,Records!O33,Records!P33,Records!Q33,Records!R33,Records!S33,Records!T33,Records!U33,Records!V33,Records!W33,Records!X33)&lt;13,"",IF(OR(AND(Records!K33=Records!L33,Records!L33=Records!M33,Records!M33=Records!O33,Records!O33=Records!P33),AND(Records!L33=Records!M33,Records!M33=Records!O33,Records!O33=Records!P33,Records!P33=Records!Q33),AND(Records!M33=Records!O33,Records!O33=Records!P33,Records!P33=Records!Q33,Records!Q33=Records!R33),AND(Records!O33=Records!P33,Records!P33=Records!Q33,Records!Q33=Records!R33,Records!R33=Records!S33),AND(Records!P33=Records!Q33,Records!Q33=Records!R33,Records!R33=Records!S33,Records!S33=Records!T33),AND(Records!Q33=Records!R33,Records!R33=Records!S33,Records!S33=Records!T33,Records!T33=Records!U33),AND(Records!R33=Records!S33,Records!S33=Records!T33,Records!T33=Records!U33,Records!U33=Records!V33),AND(Records!S33=Records!T33,Records!T33=Records!U33,Records!U33=Records!V33,Records!V33=Records!W33),AND(Records!T33=Records!U33,Records!U33=Records!V33,Records!V33=Records!W33,Records!W33=Records!X33)),"是","否"))</f>
        <v/>
      </c>
      <c r="R33" s="336">
        <f>IF(Records!AF33="","",Records!AF33)</f>
        <v/>
      </c>
      <c r="S33" s="336">
        <f>IF(Records!AG33="","",Records!AG33)</f>
        <v/>
      </c>
      <c r="T33" s="336">
        <f>IF(Records!AH33="","",Records!AH33)</f>
        <v/>
      </c>
      <c r="U33" s="336">
        <f>IF(Records!AI33="","",Records!AI33)</f>
        <v/>
      </c>
      <c r="V33" s="336">
        <f>IF(Records!AJ33="","",Records!AJ33)</f>
        <v/>
      </c>
      <c r="W33" s="336">
        <f>IF(Records!AK33="","",Records!AK33)</f>
        <v/>
      </c>
      <c r="X33" s="336">
        <f>IF(Records!AL33="","",Records!AL33)</f>
        <v/>
      </c>
      <c r="Y33" s="336">
        <f>IF(Records!AM33="","",Records!AM33)</f>
        <v/>
      </c>
      <c r="Z33" s="336">
        <f>IF(Records!AN33="","",Records!AN33)</f>
        <v/>
      </c>
    </row>
    <row r="34">
      <c r="A34" s="335">
        <f>IF(Records!A34="","",Records!A34)</f>
        <v/>
      </c>
      <c r="B34" s="335">
        <f>IF(Records!B34="","",Records!B34)</f>
        <v/>
      </c>
      <c r="C34" s="336">
        <f>IF(Records!H34="","",Records!H34)</f>
        <v/>
      </c>
      <c r="D34" s="336">
        <f>IF(Records!F34="","",Records!F34)</f>
        <v/>
      </c>
      <c r="E34" s="337">
        <f>IF(AND(COUNTIFS(Participants!$A$3:$A$26,Records!A34,Participants!$V$3:$V$26,"是")=1,Records!AB34="是",Records!AC34="是",Records!AD34="是",COUNT(Records!K34,Records!L34,Records!M34,Records!O34,Records!P34,Records!Q34,Records!R34,Records!S34,Records!T34,Records!U34,Records!V34,Records!W34,Records!X34)=13),"是","否")</f>
        <v/>
      </c>
      <c r="F34" s="336">
        <f>IF(Records!K34="","",Records!K34)</f>
        <v/>
      </c>
      <c r="G34" s="336">
        <f>IF(Records!R34="","",Records!R34)</f>
        <v/>
      </c>
      <c r="H34" s="336">
        <f>IF(Records!L34="","",Records!L34)</f>
        <v/>
      </c>
      <c r="I34" s="336">
        <f>IF(Records!M34="","",Records!M34)</f>
        <v/>
      </c>
      <c r="J34" s="336">
        <f>IF(Records!Q34="","",Records!Q34)</f>
        <v/>
      </c>
      <c r="K34" s="336">
        <f>IF(Records!W34="","",Records!W34)</f>
        <v/>
      </c>
      <c r="L34" s="336">
        <f>IF(Records!X34="","",Records!X34)</f>
        <v/>
      </c>
      <c r="M34" s="336">
        <f>IF(COUNT(Records!S34,Records!T34,Records!U34)=3,AVERAGE(Records!S34,Records!T34,Records!U34),"")</f>
        <v/>
      </c>
      <c r="N34" s="336">
        <f>IF(COUNT(Records!V34,Records!O34,Records!P34)=3,AVERAGE(Records!V34,Records!O34,Records!P34),"")</f>
        <v/>
      </c>
      <c r="O34" s="336">
        <f>IF(Records!N34="","",Records!N34)</f>
        <v/>
      </c>
      <c r="P34" s="337">
        <f>IF(Records!AA34="","",IF(Records!AA34&gt;150,"是","否"))</f>
        <v/>
      </c>
      <c r="Q34" s="337">
        <f>IF(COUNT(Records!K34,Records!L34,Records!M34,Records!O34,Records!P34,Records!Q34,Records!R34,Records!S34,Records!T34,Records!U34,Records!V34,Records!W34,Records!X34)&lt;13,"",IF(OR(AND(Records!K34=Records!L34,Records!L34=Records!M34,Records!M34=Records!O34,Records!O34=Records!P34),AND(Records!L34=Records!M34,Records!M34=Records!O34,Records!O34=Records!P34,Records!P34=Records!Q34),AND(Records!M34=Records!O34,Records!O34=Records!P34,Records!P34=Records!Q34,Records!Q34=Records!R34),AND(Records!O34=Records!P34,Records!P34=Records!Q34,Records!Q34=Records!R34,Records!R34=Records!S34),AND(Records!P34=Records!Q34,Records!Q34=Records!R34,Records!R34=Records!S34,Records!S34=Records!T34),AND(Records!Q34=Records!R34,Records!R34=Records!S34,Records!S34=Records!T34,Records!T34=Records!U34),AND(Records!R34=Records!S34,Records!S34=Records!T34,Records!T34=Records!U34,Records!U34=Records!V34),AND(Records!S34=Records!T34,Records!T34=Records!U34,Records!U34=Records!V34,Records!V34=Records!W34),AND(Records!T34=Records!U34,Records!U34=Records!V34,Records!V34=Records!W34,Records!W34=Records!X34)),"是","否"))</f>
        <v/>
      </c>
      <c r="R34" s="336">
        <f>IF(Records!AF34="","",Records!AF34)</f>
        <v/>
      </c>
      <c r="S34" s="336">
        <f>IF(Records!AG34="","",Records!AG34)</f>
        <v/>
      </c>
      <c r="T34" s="336">
        <f>IF(Records!AH34="","",Records!AH34)</f>
        <v/>
      </c>
      <c r="U34" s="336">
        <f>IF(Records!AI34="","",Records!AI34)</f>
        <v/>
      </c>
      <c r="V34" s="336">
        <f>IF(Records!AJ34="","",Records!AJ34)</f>
        <v/>
      </c>
      <c r="W34" s="336">
        <f>IF(Records!AK34="","",Records!AK34)</f>
        <v/>
      </c>
      <c r="X34" s="336">
        <f>IF(Records!AL34="","",Records!AL34)</f>
        <v/>
      </c>
      <c r="Y34" s="336">
        <f>IF(Records!AM34="","",Records!AM34)</f>
        <v/>
      </c>
      <c r="Z34" s="336">
        <f>IF(Records!AN34="","",Records!AN34)</f>
        <v/>
      </c>
    </row>
    <row r="35">
      <c r="A35" s="335">
        <f>IF(Records!A35="","",Records!A35)</f>
        <v/>
      </c>
      <c r="B35" s="335">
        <f>IF(Records!B35="","",Records!B35)</f>
        <v/>
      </c>
      <c r="C35" s="336">
        <f>IF(Records!H35="","",Records!H35)</f>
        <v/>
      </c>
      <c r="D35" s="336">
        <f>IF(Records!F35="","",Records!F35)</f>
        <v/>
      </c>
      <c r="E35" s="337">
        <f>IF(AND(COUNTIFS(Participants!$A$3:$A$26,Records!A35,Participants!$V$3:$V$26,"是")=1,Records!AB35="是",Records!AC35="是",Records!AD35="是",COUNT(Records!K35,Records!L35,Records!M35,Records!O35,Records!P35,Records!Q35,Records!R35,Records!S35,Records!T35,Records!U35,Records!V35,Records!W35,Records!X35)=13),"是","否")</f>
        <v/>
      </c>
      <c r="F35" s="336">
        <f>IF(Records!K35="","",Records!K35)</f>
        <v/>
      </c>
      <c r="G35" s="336">
        <f>IF(Records!R35="","",Records!R35)</f>
        <v/>
      </c>
      <c r="H35" s="336">
        <f>IF(Records!L35="","",Records!L35)</f>
        <v/>
      </c>
      <c r="I35" s="336">
        <f>IF(Records!M35="","",Records!M35)</f>
        <v/>
      </c>
      <c r="J35" s="336">
        <f>IF(Records!Q35="","",Records!Q35)</f>
        <v/>
      </c>
      <c r="K35" s="336">
        <f>IF(Records!W35="","",Records!W35)</f>
        <v/>
      </c>
      <c r="L35" s="336">
        <f>IF(Records!X35="","",Records!X35)</f>
        <v/>
      </c>
      <c r="M35" s="336">
        <f>IF(COUNT(Records!S35,Records!T35,Records!U35)=3,AVERAGE(Records!S35,Records!T35,Records!U35),"")</f>
        <v/>
      </c>
      <c r="N35" s="336">
        <f>IF(COUNT(Records!V35,Records!O35,Records!P35)=3,AVERAGE(Records!V35,Records!O35,Records!P35),"")</f>
        <v/>
      </c>
      <c r="O35" s="336">
        <f>IF(Records!N35="","",Records!N35)</f>
        <v/>
      </c>
      <c r="P35" s="337">
        <f>IF(Records!AA35="","",IF(Records!AA35&gt;150,"是","否"))</f>
        <v/>
      </c>
      <c r="Q35" s="337">
        <f>IF(COUNT(Records!K35,Records!L35,Records!M35,Records!O35,Records!P35,Records!Q35,Records!R35,Records!S35,Records!T35,Records!U35,Records!V35,Records!W35,Records!X35)&lt;13,"",IF(OR(AND(Records!K35=Records!L35,Records!L35=Records!M35,Records!M35=Records!O35,Records!O35=Records!P35),AND(Records!L35=Records!M35,Records!M35=Records!O35,Records!O35=Records!P35,Records!P35=Records!Q35),AND(Records!M35=Records!O35,Records!O35=Records!P35,Records!P35=Records!Q35,Records!Q35=Records!R35),AND(Records!O35=Records!P35,Records!P35=Records!Q35,Records!Q35=Records!R35,Records!R35=Records!S35),AND(Records!P35=Records!Q35,Records!Q35=Records!R35,Records!R35=Records!S35,Records!S35=Records!T35),AND(Records!Q35=Records!R35,Records!R35=Records!S35,Records!S35=Records!T35,Records!T35=Records!U35),AND(Records!R35=Records!S35,Records!S35=Records!T35,Records!T35=Records!U35,Records!U35=Records!V35),AND(Records!S35=Records!T35,Records!T35=Records!U35,Records!U35=Records!V35,Records!V35=Records!W35),AND(Records!T35=Records!U35,Records!U35=Records!V35,Records!V35=Records!W35,Records!W35=Records!X35)),"是","否"))</f>
        <v/>
      </c>
      <c r="R35" s="336">
        <f>IF(Records!AF35="","",Records!AF35)</f>
        <v/>
      </c>
      <c r="S35" s="336">
        <f>IF(Records!AG35="","",Records!AG35)</f>
        <v/>
      </c>
      <c r="T35" s="336">
        <f>IF(Records!AH35="","",Records!AH35)</f>
        <v/>
      </c>
      <c r="U35" s="336">
        <f>IF(Records!AI35="","",Records!AI35)</f>
        <v/>
      </c>
      <c r="V35" s="336">
        <f>IF(Records!AJ35="","",Records!AJ35)</f>
        <v/>
      </c>
      <c r="W35" s="336">
        <f>IF(Records!AK35="","",Records!AK35)</f>
        <v/>
      </c>
      <c r="X35" s="336">
        <f>IF(Records!AL35="","",Records!AL35)</f>
        <v/>
      </c>
      <c r="Y35" s="336">
        <f>IF(Records!AM35="","",Records!AM35)</f>
        <v/>
      </c>
      <c r="Z35" s="336">
        <f>IF(Records!AN35="","",Records!AN35)</f>
        <v/>
      </c>
    </row>
    <row r="36">
      <c r="A36" s="335">
        <f>IF(Records!A36="","",Records!A36)</f>
        <v/>
      </c>
      <c r="B36" s="335">
        <f>IF(Records!B36="","",Records!B36)</f>
        <v/>
      </c>
      <c r="C36" s="336">
        <f>IF(Records!H36="","",Records!H36)</f>
        <v/>
      </c>
      <c r="D36" s="336">
        <f>IF(Records!F36="","",Records!F36)</f>
        <v/>
      </c>
      <c r="E36" s="337">
        <f>IF(AND(COUNTIFS(Participants!$A$3:$A$26,Records!A36,Participants!$V$3:$V$26,"是")=1,Records!AB36="是",Records!AC36="是",Records!AD36="是",COUNT(Records!K36,Records!L36,Records!M36,Records!O36,Records!P36,Records!Q36,Records!R36,Records!S36,Records!T36,Records!U36,Records!V36,Records!W36,Records!X36)=13),"是","否")</f>
        <v/>
      </c>
      <c r="F36" s="336">
        <f>IF(Records!K36="","",Records!K36)</f>
        <v/>
      </c>
      <c r="G36" s="336">
        <f>IF(Records!R36="","",Records!R36)</f>
        <v/>
      </c>
      <c r="H36" s="336">
        <f>IF(Records!L36="","",Records!L36)</f>
        <v/>
      </c>
      <c r="I36" s="336">
        <f>IF(Records!M36="","",Records!M36)</f>
        <v/>
      </c>
      <c r="J36" s="336">
        <f>IF(Records!Q36="","",Records!Q36)</f>
        <v/>
      </c>
      <c r="K36" s="336">
        <f>IF(Records!W36="","",Records!W36)</f>
        <v/>
      </c>
      <c r="L36" s="336">
        <f>IF(Records!X36="","",Records!X36)</f>
        <v/>
      </c>
      <c r="M36" s="336">
        <f>IF(COUNT(Records!S36,Records!T36,Records!U36)=3,AVERAGE(Records!S36,Records!T36,Records!U36),"")</f>
        <v/>
      </c>
      <c r="N36" s="336">
        <f>IF(COUNT(Records!V36,Records!O36,Records!P36)=3,AVERAGE(Records!V36,Records!O36,Records!P36),"")</f>
        <v/>
      </c>
      <c r="O36" s="336">
        <f>IF(Records!N36="","",Records!N36)</f>
        <v/>
      </c>
      <c r="P36" s="337">
        <f>IF(Records!AA36="","",IF(Records!AA36&gt;150,"是","否"))</f>
        <v/>
      </c>
      <c r="Q36" s="337">
        <f>IF(COUNT(Records!K36,Records!L36,Records!M36,Records!O36,Records!P36,Records!Q36,Records!R36,Records!S36,Records!T36,Records!U36,Records!V36,Records!W36,Records!X36)&lt;13,"",IF(OR(AND(Records!K36=Records!L36,Records!L36=Records!M36,Records!M36=Records!O36,Records!O36=Records!P36),AND(Records!L36=Records!M36,Records!M36=Records!O36,Records!O36=Records!P36,Records!P36=Records!Q36),AND(Records!M36=Records!O36,Records!O36=Records!P36,Records!P36=Records!Q36,Records!Q36=Records!R36),AND(Records!O36=Records!P36,Records!P36=Records!Q36,Records!Q36=Records!R36,Records!R36=Records!S36),AND(Records!P36=Records!Q36,Records!Q36=Records!R36,Records!R36=Records!S36,Records!S36=Records!T36),AND(Records!Q36=Records!R36,Records!R36=Records!S36,Records!S36=Records!T36,Records!T36=Records!U36),AND(Records!R36=Records!S36,Records!S36=Records!T36,Records!T36=Records!U36,Records!U36=Records!V36),AND(Records!S36=Records!T36,Records!T36=Records!U36,Records!U36=Records!V36,Records!V36=Records!W36),AND(Records!T36=Records!U36,Records!U36=Records!V36,Records!V36=Records!W36,Records!W36=Records!X36)),"是","否"))</f>
        <v/>
      </c>
      <c r="R36" s="336">
        <f>IF(Records!AF36="","",Records!AF36)</f>
        <v/>
      </c>
      <c r="S36" s="336">
        <f>IF(Records!AG36="","",Records!AG36)</f>
        <v/>
      </c>
      <c r="T36" s="336">
        <f>IF(Records!AH36="","",Records!AH36)</f>
        <v/>
      </c>
      <c r="U36" s="336">
        <f>IF(Records!AI36="","",Records!AI36)</f>
        <v/>
      </c>
      <c r="V36" s="336">
        <f>IF(Records!AJ36="","",Records!AJ36)</f>
        <v/>
      </c>
      <c r="W36" s="336">
        <f>IF(Records!AK36="","",Records!AK36)</f>
        <v/>
      </c>
      <c r="X36" s="336">
        <f>IF(Records!AL36="","",Records!AL36)</f>
        <v/>
      </c>
      <c r="Y36" s="336">
        <f>IF(Records!AM36="","",Records!AM36)</f>
        <v/>
      </c>
      <c r="Z36" s="336">
        <f>IF(Records!AN36="","",Records!AN36)</f>
        <v/>
      </c>
    </row>
    <row r="37">
      <c r="A37" s="335">
        <f>IF(Records!A37="","",Records!A37)</f>
        <v/>
      </c>
      <c r="B37" s="335">
        <f>IF(Records!B37="","",Records!B37)</f>
        <v/>
      </c>
      <c r="C37" s="336">
        <f>IF(Records!H37="","",Records!H37)</f>
        <v/>
      </c>
      <c r="D37" s="336">
        <f>IF(Records!F37="","",Records!F37)</f>
        <v/>
      </c>
      <c r="E37" s="337">
        <f>IF(AND(COUNTIFS(Participants!$A$3:$A$26,Records!A37,Participants!$V$3:$V$26,"是")=1,Records!AB37="是",Records!AC37="是",Records!AD37="是",COUNT(Records!K37,Records!L37,Records!M37,Records!O37,Records!P37,Records!Q37,Records!R37,Records!S37,Records!T37,Records!U37,Records!V37,Records!W37,Records!X37)=13),"是","否")</f>
        <v/>
      </c>
      <c r="F37" s="336">
        <f>IF(Records!K37="","",Records!K37)</f>
        <v/>
      </c>
      <c r="G37" s="336">
        <f>IF(Records!R37="","",Records!R37)</f>
        <v/>
      </c>
      <c r="H37" s="336">
        <f>IF(Records!L37="","",Records!L37)</f>
        <v/>
      </c>
      <c r="I37" s="336">
        <f>IF(Records!M37="","",Records!M37)</f>
        <v/>
      </c>
      <c r="J37" s="336">
        <f>IF(Records!Q37="","",Records!Q37)</f>
        <v/>
      </c>
      <c r="K37" s="336">
        <f>IF(Records!W37="","",Records!W37)</f>
        <v/>
      </c>
      <c r="L37" s="336">
        <f>IF(Records!X37="","",Records!X37)</f>
        <v/>
      </c>
      <c r="M37" s="336">
        <f>IF(COUNT(Records!S37,Records!T37,Records!U37)=3,AVERAGE(Records!S37,Records!T37,Records!U37),"")</f>
        <v/>
      </c>
      <c r="N37" s="336">
        <f>IF(COUNT(Records!V37,Records!O37,Records!P37)=3,AVERAGE(Records!V37,Records!O37,Records!P37),"")</f>
        <v/>
      </c>
      <c r="O37" s="336">
        <f>IF(Records!N37="","",Records!N37)</f>
        <v/>
      </c>
      <c r="P37" s="337">
        <f>IF(Records!AA37="","",IF(Records!AA37&gt;150,"是","否"))</f>
        <v/>
      </c>
      <c r="Q37" s="337">
        <f>IF(COUNT(Records!K37,Records!L37,Records!M37,Records!O37,Records!P37,Records!Q37,Records!R37,Records!S37,Records!T37,Records!U37,Records!V37,Records!W37,Records!X37)&lt;13,"",IF(OR(AND(Records!K37=Records!L37,Records!L37=Records!M37,Records!M37=Records!O37,Records!O37=Records!P37),AND(Records!L37=Records!M37,Records!M37=Records!O37,Records!O37=Records!P37,Records!P37=Records!Q37),AND(Records!M37=Records!O37,Records!O37=Records!P37,Records!P37=Records!Q37,Records!Q37=Records!R37),AND(Records!O37=Records!P37,Records!P37=Records!Q37,Records!Q37=Records!R37,Records!R37=Records!S37),AND(Records!P37=Records!Q37,Records!Q37=Records!R37,Records!R37=Records!S37,Records!S37=Records!T37),AND(Records!Q37=Records!R37,Records!R37=Records!S37,Records!S37=Records!T37,Records!T37=Records!U37),AND(Records!R37=Records!S37,Records!S37=Records!T37,Records!T37=Records!U37,Records!U37=Records!V37),AND(Records!S37=Records!T37,Records!T37=Records!U37,Records!U37=Records!V37,Records!V37=Records!W37),AND(Records!T37=Records!U37,Records!U37=Records!V37,Records!V37=Records!W37,Records!W37=Records!X37)),"是","否"))</f>
        <v/>
      </c>
      <c r="R37" s="336">
        <f>IF(Records!AF37="","",Records!AF37)</f>
        <v/>
      </c>
      <c r="S37" s="336">
        <f>IF(Records!AG37="","",Records!AG37)</f>
        <v/>
      </c>
      <c r="T37" s="336">
        <f>IF(Records!AH37="","",Records!AH37)</f>
        <v/>
      </c>
      <c r="U37" s="336">
        <f>IF(Records!AI37="","",Records!AI37)</f>
        <v/>
      </c>
      <c r="V37" s="336">
        <f>IF(Records!AJ37="","",Records!AJ37)</f>
        <v/>
      </c>
      <c r="W37" s="336">
        <f>IF(Records!AK37="","",Records!AK37)</f>
        <v/>
      </c>
      <c r="X37" s="336">
        <f>IF(Records!AL37="","",Records!AL37)</f>
        <v/>
      </c>
      <c r="Y37" s="336">
        <f>IF(Records!AM37="","",Records!AM37)</f>
        <v/>
      </c>
      <c r="Z37" s="336">
        <f>IF(Records!AN37="","",Records!AN37)</f>
        <v/>
      </c>
    </row>
    <row r="38">
      <c r="A38" s="335">
        <f>IF(Records!A38="","",Records!A38)</f>
        <v/>
      </c>
      <c r="B38" s="335">
        <f>IF(Records!B38="","",Records!B38)</f>
        <v/>
      </c>
      <c r="C38" s="336">
        <f>IF(Records!H38="","",Records!H38)</f>
        <v/>
      </c>
      <c r="D38" s="336">
        <f>IF(Records!F38="","",Records!F38)</f>
        <v/>
      </c>
      <c r="E38" s="337">
        <f>IF(AND(COUNTIFS(Participants!$A$3:$A$26,Records!A38,Participants!$V$3:$V$26,"是")=1,Records!AB38="是",Records!AC38="是",Records!AD38="是",COUNT(Records!K38,Records!L38,Records!M38,Records!O38,Records!P38,Records!Q38,Records!R38,Records!S38,Records!T38,Records!U38,Records!V38,Records!W38,Records!X38)=13),"是","否")</f>
        <v/>
      </c>
      <c r="F38" s="336">
        <f>IF(Records!K38="","",Records!K38)</f>
        <v/>
      </c>
      <c r="G38" s="336">
        <f>IF(Records!R38="","",Records!R38)</f>
        <v/>
      </c>
      <c r="H38" s="336">
        <f>IF(Records!L38="","",Records!L38)</f>
        <v/>
      </c>
      <c r="I38" s="336">
        <f>IF(Records!M38="","",Records!M38)</f>
        <v/>
      </c>
      <c r="J38" s="336">
        <f>IF(Records!Q38="","",Records!Q38)</f>
        <v/>
      </c>
      <c r="K38" s="336">
        <f>IF(Records!W38="","",Records!W38)</f>
        <v/>
      </c>
      <c r="L38" s="336">
        <f>IF(Records!X38="","",Records!X38)</f>
        <v/>
      </c>
      <c r="M38" s="336">
        <f>IF(COUNT(Records!S38,Records!T38,Records!U38)=3,AVERAGE(Records!S38,Records!T38,Records!U38),"")</f>
        <v/>
      </c>
      <c r="N38" s="336">
        <f>IF(COUNT(Records!V38,Records!O38,Records!P38)=3,AVERAGE(Records!V38,Records!O38,Records!P38),"")</f>
        <v/>
      </c>
      <c r="O38" s="336">
        <f>IF(Records!N38="","",Records!N38)</f>
        <v/>
      </c>
      <c r="P38" s="337">
        <f>IF(Records!AA38="","",IF(Records!AA38&gt;150,"是","否"))</f>
        <v/>
      </c>
      <c r="Q38" s="337">
        <f>IF(COUNT(Records!K38,Records!L38,Records!M38,Records!O38,Records!P38,Records!Q38,Records!R38,Records!S38,Records!T38,Records!U38,Records!V38,Records!W38,Records!X38)&lt;13,"",IF(OR(AND(Records!K38=Records!L38,Records!L38=Records!M38,Records!M38=Records!O38,Records!O38=Records!P38),AND(Records!L38=Records!M38,Records!M38=Records!O38,Records!O38=Records!P38,Records!P38=Records!Q38),AND(Records!M38=Records!O38,Records!O38=Records!P38,Records!P38=Records!Q38,Records!Q38=Records!R38),AND(Records!O38=Records!P38,Records!P38=Records!Q38,Records!Q38=Records!R38,Records!R38=Records!S38),AND(Records!P38=Records!Q38,Records!Q38=Records!R38,Records!R38=Records!S38,Records!S38=Records!T38),AND(Records!Q38=Records!R38,Records!R38=Records!S38,Records!S38=Records!T38,Records!T38=Records!U38),AND(Records!R38=Records!S38,Records!S38=Records!T38,Records!T38=Records!U38,Records!U38=Records!V38),AND(Records!S38=Records!T38,Records!T38=Records!U38,Records!U38=Records!V38,Records!V38=Records!W38),AND(Records!T38=Records!U38,Records!U38=Records!V38,Records!V38=Records!W38,Records!W38=Records!X38)),"是","否"))</f>
        <v/>
      </c>
      <c r="R38" s="336">
        <f>IF(Records!AF38="","",Records!AF38)</f>
        <v/>
      </c>
      <c r="S38" s="336">
        <f>IF(Records!AG38="","",Records!AG38)</f>
        <v/>
      </c>
      <c r="T38" s="336">
        <f>IF(Records!AH38="","",Records!AH38)</f>
        <v/>
      </c>
      <c r="U38" s="336">
        <f>IF(Records!AI38="","",Records!AI38)</f>
        <v/>
      </c>
      <c r="V38" s="336">
        <f>IF(Records!AJ38="","",Records!AJ38)</f>
        <v/>
      </c>
      <c r="W38" s="336">
        <f>IF(Records!AK38="","",Records!AK38)</f>
        <v/>
      </c>
      <c r="X38" s="336">
        <f>IF(Records!AL38="","",Records!AL38)</f>
        <v/>
      </c>
      <c r="Y38" s="336">
        <f>IF(Records!AM38="","",Records!AM38)</f>
        <v/>
      </c>
      <c r="Z38" s="336">
        <f>IF(Records!AN38="","",Records!AN38)</f>
        <v/>
      </c>
    </row>
    <row r="39">
      <c r="A39" s="335">
        <f>IF(Records!A39="","",Records!A39)</f>
        <v/>
      </c>
      <c r="B39" s="335">
        <f>IF(Records!B39="","",Records!B39)</f>
        <v/>
      </c>
      <c r="C39" s="336">
        <f>IF(Records!H39="","",Records!H39)</f>
        <v/>
      </c>
      <c r="D39" s="336">
        <f>IF(Records!F39="","",Records!F39)</f>
        <v/>
      </c>
      <c r="E39" s="337">
        <f>IF(AND(COUNTIFS(Participants!$A$3:$A$26,Records!A39,Participants!$V$3:$V$26,"是")=1,Records!AB39="是",Records!AC39="是",Records!AD39="是",COUNT(Records!K39,Records!L39,Records!M39,Records!O39,Records!P39,Records!Q39,Records!R39,Records!S39,Records!T39,Records!U39,Records!V39,Records!W39,Records!X39)=13),"是","否")</f>
        <v/>
      </c>
      <c r="F39" s="336">
        <f>IF(Records!K39="","",Records!K39)</f>
        <v/>
      </c>
      <c r="G39" s="336">
        <f>IF(Records!R39="","",Records!R39)</f>
        <v/>
      </c>
      <c r="H39" s="336">
        <f>IF(Records!L39="","",Records!L39)</f>
        <v/>
      </c>
      <c r="I39" s="336">
        <f>IF(Records!M39="","",Records!M39)</f>
        <v/>
      </c>
      <c r="J39" s="336">
        <f>IF(Records!Q39="","",Records!Q39)</f>
        <v/>
      </c>
      <c r="K39" s="336">
        <f>IF(Records!W39="","",Records!W39)</f>
        <v/>
      </c>
      <c r="L39" s="336">
        <f>IF(Records!X39="","",Records!X39)</f>
        <v/>
      </c>
      <c r="M39" s="336">
        <f>IF(COUNT(Records!S39,Records!T39,Records!U39)=3,AVERAGE(Records!S39,Records!T39,Records!U39),"")</f>
        <v/>
      </c>
      <c r="N39" s="336">
        <f>IF(COUNT(Records!V39,Records!O39,Records!P39)=3,AVERAGE(Records!V39,Records!O39,Records!P39),"")</f>
        <v/>
      </c>
      <c r="O39" s="336">
        <f>IF(Records!N39="","",Records!N39)</f>
        <v/>
      </c>
      <c r="P39" s="337">
        <f>IF(Records!AA39="","",IF(Records!AA39&gt;150,"是","否"))</f>
        <v/>
      </c>
      <c r="Q39" s="337">
        <f>IF(COUNT(Records!K39,Records!L39,Records!M39,Records!O39,Records!P39,Records!Q39,Records!R39,Records!S39,Records!T39,Records!U39,Records!V39,Records!W39,Records!X39)&lt;13,"",IF(OR(AND(Records!K39=Records!L39,Records!L39=Records!M39,Records!M39=Records!O39,Records!O39=Records!P39),AND(Records!L39=Records!M39,Records!M39=Records!O39,Records!O39=Records!P39,Records!P39=Records!Q39),AND(Records!M39=Records!O39,Records!O39=Records!P39,Records!P39=Records!Q39,Records!Q39=Records!R39),AND(Records!O39=Records!P39,Records!P39=Records!Q39,Records!Q39=Records!R39,Records!R39=Records!S39),AND(Records!P39=Records!Q39,Records!Q39=Records!R39,Records!R39=Records!S39,Records!S39=Records!T39),AND(Records!Q39=Records!R39,Records!R39=Records!S39,Records!S39=Records!T39,Records!T39=Records!U39),AND(Records!R39=Records!S39,Records!S39=Records!T39,Records!T39=Records!U39,Records!U39=Records!V39),AND(Records!S39=Records!T39,Records!T39=Records!U39,Records!U39=Records!V39,Records!V39=Records!W39),AND(Records!T39=Records!U39,Records!U39=Records!V39,Records!V39=Records!W39,Records!W39=Records!X39)),"是","否"))</f>
        <v/>
      </c>
      <c r="R39" s="336">
        <f>IF(Records!AF39="","",Records!AF39)</f>
        <v/>
      </c>
      <c r="S39" s="336">
        <f>IF(Records!AG39="","",Records!AG39)</f>
        <v/>
      </c>
      <c r="T39" s="336">
        <f>IF(Records!AH39="","",Records!AH39)</f>
        <v/>
      </c>
      <c r="U39" s="336">
        <f>IF(Records!AI39="","",Records!AI39)</f>
        <v/>
      </c>
      <c r="V39" s="336">
        <f>IF(Records!AJ39="","",Records!AJ39)</f>
        <v/>
      </c>
      <c r="W39" s="336">
        <f>IF(Records!AK39="","",Records!AK39)</f>
        <v/>
      </c>
      <c r="X39" s="336">
        <f>IF(Records!AL39="","",Records!AL39)</f>
        <v/>
      </c>
      <c r="Y39" s="336">
        <f>IF(Records!AM39="","",Records!AM39)</f>
        <v/>
      </c>
      <c r="Z39" s="336">
        <f>IF(Records!AN39="","",Records!AN39)</f>
        <v/>
      </c>
    </row>
    <row r="40">
      <c r="A40" s="335">
        <f>IF(Records!A40="","",Records!A40)</f>
        <v/>
      </c>
      <c r="B40" s="335">
        <f>IF(Records!B40="","",Records!B40)</f>
        <v/>
      </c>
      <c r="C40" s="336">
        <f>IF(Records!H40="","",Records!H40)</f>
        <v/>
      </c>
      <c r="D40" s="336">
        <f>IF(Records!F40="","",Records!F40)</f>
        <v/>
      </c>
      <c r="E40" s="337">
        <f>IF(AND(COUNTIFS(Participants!$A$3:$A$26,Records!A40,Participants!$V$3:$V$26,"是")=1,Records!AB40="是",Records!AC40="是",Records!AD40="是",COUNT(Records!K40,Records!L40,Records!M40,Records!O40,Records!P40,Records!Q40,Records!R40,Records!S40,Records!T40,Records!U40,Records!V40,Records!W40,Records!X40)=13),"是","否")</f>
        <v/>
      </c>
      <c r="F40" s="336">
        <f>IF(Records!K40="","",Records!K40)</f>
        <v/>
      </c>
      <c r="G40" s="336">
        <f>IF(Records!R40="","",Records!R40)</f>
        <v/>
      </c>
      <c r="H40" s="336">
        <f>IF(Records!L40="","",Records!L40)</f>
        <v/>
      </c>
      <c r="I40" s="336">
        <f>IF(Records!M40="","",Records!M40)</f>
        <v/>
      </c>
      <c r="J40" s="336">
        <f>IF(Records!Q40="","",Records!Q40)</f>
        <v/>
      </c>
      <c r="K40" s="336">
        <f>IF(Records!W40="","",Records!W40)</f>
        <v/>
      </c>
      <c r="L40" s="336">
        <f>IF(Records!X40="","",Records!X40)</f>
        <v/>
      </c>
      <c r="M40" s="336">
        <f>IF(COUNT(Records!S40,Records!T40,Records!U40)=3,AVERAGE(Records!S40,Records!T40,Records!U40),"")</f>
        <v/>
      </c>
      <c r="N40" s="336">
        <f>IF(COUNT(Records!V40,Records!O40,Records!P40)=3,AVERAGE(Records!V40,Records!O40,Records!P40),"")</f>
        <v/>
      </c>
      <c r="O40" s="336">
        <f>IF(Records!N40="","",Records!N40)</f>
        <v/>
      </c>
      <c r="P40" s="337">
        <f>IF(Records!AA40="","",IF(Records!AA40&gt;150,"是","否"))</f>
        <v/>
      </c>
      <c r="Q40" s="337">
        <f>IF(COUNT(Records!K40,Records!L40,Records!M40,Records!O40,Records!P40,Records!Q40,Records!R40,Records!S40,Records!T40,Records!U40,Records!V40,Records!W40,Records!X40)&lt;13,"",IF(OR(AND(Records!K40=Records!L40,Records!L40=Records!M40,Records!M40=Records!O40,Records!O40=Records!P40),AND(Records!L40=Records!M40,Records!M40=Records!O40,Records!O40=Records!P40,Records!P40=Records!Q40),AND(Records!M40=Records!O40,Records!O40=Records!P40,Records!P40=Records!Q40,Records!Q40=Records!R40),AND(Records!O40=Records!P40,Records!P40=Records!Q40,Records!Q40=Records!R40,Records!R40=Records!S40),AND(Records!P40=Records!Q40,Records!Q40=Records!R40,Records!R40=Records!S40,Records!S40=Records!T40),AND(Records!Q40=Records!R40,Records!R40=Records!S40,Records!S40=Records!T40,Records!T40=Records!U40),AND(Records!R40=Records!S40,Records!S40=Records!T40,Records!T40=Records!U40,Records!U40=Records!V40),AND(Records!S40=Records!T40,Records!T40=Records!U40,Records!U40=Records!V40,Records!V40=Records!W40),AND(Records!T40=Records!U40,Records!U40=Records!V40,Records!V40=Records!W40,Records!W40=Records!X40)),"是","否"))</f>
        <v/>
      </c>
      <c r="R40" s="336">
        <f>IF(Records!AF40="","",Records!AF40)</f>
        <v/>
      </c>
      <c r="S40" s="336">
        <f>IF(Records!AG40="","",Records!AG40)</f>
        <v/>
      </c>
      <c r="T40" s="336">
        <f>IF(Records!AH40="","",Records!AH40)</f>
        <v/>
      </c>
      <c r="U40" s="336">
        <f>IF(Records!AI40="","",Records!AI40)</f>
        <v/>
      </c>
      <c r="V40" s="336">
        <f>IF(Records!AJ40="","",Records!AJ40)</f>
        <v/>
      </c>
      <c r="W40" s="336">
        <f>IF(Records!AK40="","",Records!AK40)</f>
        <v/>
      </c>
      <c r="X40" s="336">
        <f>IF(Records!AL40="","",Records!AL40)</f>
        <v/>
      </c>
      <c r="Y40" s="336">
        <f>IF(Records!AM40="","",Records!AM40)</f>
        <v/>
      </c>
      <c r="Z40" s="336">
        <f>IF(Records!AN40="","",Records!AN40)</f>
        <v/>
      </c>
    </row>
    <row r="41">
      <c r="A41" s="335">
        <f>IF(Records!A41="","",Records!A41)</f>
        <v/>
      </c>
      <c r="B41" s="335">
        <f>IF(Records!B41="","",Records!B41)</f>
        <v/>
      </c>
      <c r="C41" s="336">
        <f>IF(Records!H41="","",Records!H41)</f>
        <v/>
      </c>
      <c r="D41" s="336">
        <f>IF(Records!F41="","",Records!F41)</f>
        <v/>
      </c>
      <c r="E41" s="337">
        <f>IF(AND(COUNTIFS(Participants!$A$3:$A$26,Records!A41,Participants!$V$3:$V$26,"是")=1,Records!AB41="是",Records!AC41="是",Records!AD41="是",COUNT(Records!K41,Records!L41,Records!M41,Records!O41,Records!P41,Records!Q41,Records!R41,Records!S41,Records!T41,Records!U41,Records!V41,Records!W41,Records!X41)=13),"是","否")</f>
        <v/>
      </c>
      <c r="F41" s="336">
        <f>IF(Records!K41="","",Records!K41)</f>
        <v/>
      </c>
      <c r="G41" s="336">
        <f>IF(Records!R41="","",Records!R41)</f>
        <v/>
      </c>
      <c r="H41" s="336">
        <f>IF(Records!L41="","",Records!L41)</f>
        <v/>
      </c>
      <c r="I41" s="336">
        <f>IF(Records!M41="","",Records!M41)</f>
        <v/>
      </c>
      <c r="J41" s="336">
        <f>IF(Records!Q41="","",Records!Q41)</f>
        <v/>
      </c>
      <c r="K41" s="336">
        <f>IF(Records!W41="","",Records!W41)</f>
        <v/>
      </c>
      <c r="L41" s="336">
        <f>IF(Records!X41="","",Records!X41)</f>
        <v/>
      </c>
      <c r="M41" s="336">
        <f>IF(COUNT(Records!S41,Records!T41,Records!U41)=3,AVERAGE(Records!S41,Records!T41,Records!U41),"")</f>
        <v/>
      </c>
      <c r="N41" s="336">
        <f>IF(COUNT(Records!V41,Records!O41,Records!P41)=3,AVERAGE(Records!V41,Records!O41,Records!P41),"")</f>
        <v/>
      </c>
      <c r="O41" s="336">
        <f>IF(Records!N41="","",Records!N41)</f>
        <v/>
      </c>
      <c r="P41" s="337">
        <f>IF(Records!AA41="","",IF(Records!AA41&gt;150,"是","否"))</f>
        <v/>
      </c>
      <c r="Q41" s="337">
        <f>IF(COUNT(Records!K41,Records!L41,Records!M41,Records!O41,Records!P41,Records!Q41,Records!R41,Records!S41,Records!T41,Records!U41,Records!V41,Records!W41,Records!X41)&lt;13,"",IF(OR(AND(Records!K41=Records!L41,Records!L41=Records!M41,Records!M41=Records!O41,Records!O41=Records!P41),AND(Records!L41=Records!M41,Records!M41=Records!O41,Records!O41=Records!P41,Records!P41=Records!Q41),AND(Records!M41=Records!O41,Records!O41=Records!P41,Records!P41=Records!Q41,Records!Q41=Records!R41),AND(Records!O41=Records!P41,Records!P41=Records!Q41,Records!Q41=Records!R41,Records!R41=Records!S41),AND(Records!P41=Records!Q41,Records!Q41=Records!R41,Records!R41=Records!S41,Records!S41=Records!T41),AND(Records!Q41=Records!R41,Records!R41=Records!S41,Records!S41=Records!T41,Records!T41=Records!U41),AND(Records!R41=Records!S41,Records!S41=Records!T41,Records!T41=Records!U41,Records!U41=Records!V41),AND(Records!S41=Records!T41,Records!T41=Records!U41,Records!U41=Records!V41,Records!V41=Records!W41),AND(Records!T41=Records!U41,Records!U41=Records!V41,Records!V41=Records!W41,Records!W41=Records!X41)),"是","否"))</f>
        <v/>
      </c>
      <c r="R41" s="336">
        <f>IF(Records!AF41="","",Records!AF41)</f>
        <v/>
      </c>
      <c r="S41" s="336">
        <f>IF(Records!AG41="","",Records!AG41)</f>
        <v/>
      </c>
      <c r="T41" s="336">
        <f>IF(Records!AH41="","",Records!AH41)</f>
        <v/>
      </c>
      <c r="U41" s="336">
        <f>IF(Records!AI41="","",Records!AI41)</f>
        <v/>
      </c>
      <c r="V41" s="336">
        <f>IF(Records!AJ41="","",Records!AJ41)</f>
        <v/>
      </c>
      <c r="W41" s="336">
        <f>IF(Records!AK41="","",Records!AK41)</f>
        <v/>
      </c>
      <c r="X41" s="336">
        <f>IF(Records!AL41="","",Records!AL41)</f>
        <v/>
      </c>
      <c r="Y41" s="336">
        <f>IF(Records!AM41="","",Records!AM41)</f>
        <v/>
      </c>
      <c r="Z41" s="336">
        <f>IF(Records!AN41="","",Records!AN41)</f>
        <v/>
      </c>
    </row>
    <row r="42">
      <c r="A42" s="335">
        <f>IF(Records!A42="","",Records!A42)</f>
        <v/>
      </c>
      <c r="B42" s="335">
        <f>IF(Records!B42="","",Records!B42)</f>
        <v/>
      </c>
      <c r="C42" s="336">
        <f>IF(Records!H42="","",Records!H42)</f>
        <v/>
      </c>
      <c r="D42" s="336">
        <f>IF(Records!F42="","",Records!F42)</f>
        <v/>
      </c>
      <c r="E42" s="337">
        <f>IF(AND(COUNTIFS(Participants!$A$3:$A$26,Records!A42,Participants!$V$3:$V$26,"是")=1,Records!AB42="是",Records!AC42="是",Records!AD42="是",COUNT(Records!K42,Records!L42,Records!M42,Records!O42,Records!P42,Records!Q42,Records!R42,Records!S42,Records!T42,Records!U42,Records!V42,Records!W42,Records!X42)=13),"是","否")</f>
        <v/>
      </c>
      <c r="F42" s="336">
        <f>IF(Records!K42="","",Records!K42)</f>
        <v/>
      </c>
      <c r="G42" s="336">
        <f>IF(Records!R42="","",Records!R42)</f>
        <v/>
      </c>
      <c r="H42" s="336">
        <f>IF(Records!L42="","",Records!L42)</f>
        <v/>
      </c>
      <c r="I42" s="336">
        <f>IF(Records!M42="","",Records!M42)</f>
        <v/>
      </c>
      <c r="J42" s="336">
        <f>IF(Records!Q42="","",Records!Q42)</f>
        <v/>
      </c>
      <c r="K42" s="336">
        <f>IF(Records!W42="","",Records!W42)</f>
        <v/>
      </c>
      <c r="L42" s="336">
        <f>IF(Records!X42="","",Records!X42)</f>
        <v/>
      </c>
      <c r="M42" s="336">
        <f>IF(COUNT(Records!S42,Records!T42,Records!U42)=3,AVERAGE(Records!S42,Records!T42,Records!U42),"")</f>
        <v/>
      </c>
      <c r="N42" s="336">
        <f>IF(COUNT(Records!V42,Records!O42,Records!P42)=3,AVERAGE(Records!V42,Records!O42,Records!P42),"")</f>
        <v/>
      </c>
      <c r="O42" s="336">
        <f>IF(Records!N42="","",Records!N42)</f>
        <v/>
      </c>
      <c r="P42" s="337">
        <f>IF(Records!AA42="","",IF(Records!AA42&gt;150,"是","否"))</f>
        <v/>
      </c>
      <c r="Q42" s="337">
        <f>IF(COUNT(Records!K42,Records!L42,Records!M42,Records!O42,Records!P42,Records!Q42,Records!R42,Records!S42,Records!T42,Records!U42,Records!V42,Records!W42,Records!X42)&lt;13,"",IF(OR(AND(Records!K42=Records!L42,Records!L42=Records!M42,Records!M42=Records!O42,Records!O42=Records!P42),AND(Records!L42=Records!M42,Records!M42=Records!O42,Records!O42=Records!P42,Records!P42=Records!Q42),AND(Records!M42=Records!O42,Records!O42=Records!P42,Records!P42=Records!Q42,Records!Q42=Records!R42),AND(Records!O42=Records!P42,Records!P42=Records!Q42,Records!Q42=Records!R42,Records!R42=Records!S42),AND(Records!P42=Records!Q42,Records!Q42=Records!R42,Records!R42=Records!S42,Records!S42=Records!T42),AND(Records!Q42=Records!R42,Records!R42=Records!S42,Records!S42=Records!T42,Records!T42=Records!U42),AND(Records!R42=Records!S42,Records!S42=Records!T42,Records!T42=Records!U42,Records!U42=Records!V42),AND(Records!S42=Records!T42,Records!T42=Records!U42,Records!U42=Records!V42,Records!V42=Records!W42),AND(Records!T42=Records!U42,Records!U42=Records!V42,Records!V42=Records!W42,Records!W42=Records!X42)),"是","否"))</f>
        <v/>
      </c>
      <c r="R42" s="336">
        <f>IF(Records!AF42="","",Records!AF42)</f>
        <v/>
      </c>
      <c r="S42" s="336">
        <f>IF(Records!AG42="","",Records!AG42)</f>
        <v/>
      </c>
      <c r="T42" s="336">
        <f>IF(Records!AH42="","",Records!AH42)</f>
        <v/>
      </c>
      <c r="U42" s="336">
        <f>IF(Records!AI42="","",Records!AI42)</f>
        <v/>
      </c>
      <c r="V42" s="336">
        <f>IF(Records!AJ42="","",Records!AJ42)</f>
        <v/>
      </c>
      <c r="W42" s="336">
        <f>IF(Records!AK42="","",Records!AK42)</f>
        <v/>
      </c>
      <c r="X42" s="336">
        <f>IF(Records!AL42="","",Records!AL42)</f>
        <v/>
      </c>
      <c r="Y42" s="336">
        <f>IF(Records!AM42="","",Records!AM42)</f>
        <v/>
      </c>
      <c r="Z42" s="336">
        <f>IF(Records!AN42="","",Records!AN42)</f>
        <v/>
      </c>
    </row>
    <row r="43">
      <c r="A43" s="335">
        <f>IF(Records!A43="","",Records!A43)</f>
        <v/>
      </c>
      <c r="B43" s="335">
        <f>IF(Records!B43="","",Records!B43)</f>
        <v/>
      </c>
      <c r="C43" s="336">
        <f>IF(Records!H43="","",Records!H43)</f>
        <v/>
      </c>
      <c r="D43" s="336">
        <f>IF(Records!F43="","",Records!F43)</f>
        <v/>
      </c>
      <c r="E43" s="337">
        <f>IF(AND(COUNTIFS(Participants!$A$3:$A$26,Records!A43,Participants!$V$3:$V$26,"是")=1,Records!AB43="是",Records!AC43="是",Records!AD43="是",COUNT(Records!K43,Records!L43,Records!M43,Records!O43,Records!P43,Records!Q43,Records!R43,Records!S43,Records!T43,Records!U43,Records!V43,Records!W43,Records!X43)=13),"是","否")</f>
        <v/>
      </c>
      <c r="F43" s="336">
        <f>IF(Records!K43="","",Records!K43)</f>
        <v/>
      </c>
      <c r="G43" s="336">
        <f>IF(Records!R43="","",Records!R43)</f>
        <v/>
      </c>
      <c r="H43" s="336">
        <f>IF(Records!L43="","",Records!L43)</f>
        <v/>
      </c>
      <c r="I43" s="336">
        <f>IF(Records!M43="","",Records!M43)</f>
        <v/>
      </c>
      <c r="J43" s="336">
        <f>IF(Records!Q43="","",Records!Q43)</f>
        <v/>
      </c>
      <c r="K43" s="336">
        <f>IF(Records!W43="","",Records!W43)</f>
        <v/>
      </c>
      <c r="L43" s="336">
        <f>IF(Records!X43="","",Records!X43)</f>
        <v/>
      </c>
      <c r="M43" s="336">
        <f>IF(COUNT(Records!S43,Records!T43,Records!U43)=3,AVERAGE(Records!S43,Records!T43,Records!U43),"")</f>
        <v/>
      </c>
      <c r="N43" s="336">
        <f>IF(COUNT(Records!V43,Records!O43,Records!P43)=3,AVERAGE(Records!V43,Records!O43,Records!P43),"")</f>
        <v/>
      </c>
      <c r="O43" s="336">
        <f>IF(Records!N43="","",Records!N43)</f>
        <v/>
      </c>
      <c r="P43" s="337">
        <f>IF(Records!AA43="","",IF(Records!AA43&gt;150,"是","否"))</f>
        <v/>
      </c>
      <c r="Q43" s="337">
        <f>IF(COUNT(Records!K43,Records!L43,Records!M43,Records!O43,Records!P43,Records!Q43,Records!R43,Records!S43,Records!T43,Records!U43,Records!V43,Records!W43,Records!X43)&lt;13,"",IF(OR(AND(Records!K43=Records!L43,Records!L43=Records!M43,Records!M43=Records!O43,Records!O43=Records!P43),AND(Records!L43=Records!M43,Records!M43=Records!O43,Records!O43=Records!P43,Records!P43=Records!Q43),AND(Records!M43=Records!O43,Records!O43=Records!P43,Records!P43=Records!Q43,Records!Q43=Records!R43),AND(Records!O43=Records!P43,Records!P43=Records!Q43,Records!Q43=Records!R43,Records!R43=Records!S43),AND(Records!P43=Records!Q43,Records!Q43=Records!R43,Records!R43=Records!S43,Records!S43=Records!T43),AND(Records!Q43=Records!R43,Records!R43=Records!S43,Records!S43=Records!T43,Records!T43=Records!U43),AND(Records!R43=Records!S43,Records!S43=Records!T43,Records!T43=Records!U43,Records!U43=Records!V43),AND(Records!S43=Records!T43,Records!T43=Records!U43,Records!U43=Records!V43,Records!V43=Records!W43),AND(Records!T43=Records!U43,Records!U43=Records!V43,Records!V43=Records!W43,Records!W43=Records!X43)),"是","否"))</f>
        <v/>
      </c>
      <c r="R43" s="336">
        <f>IF(Records!AF43="","",Records!AF43)</f>
        <v/>
      </c>
      <c r="S43" s="336">
        <f>IF(Records!AG43="","",Records!AG43)</f>
        <v/>
      </c>
      <c r="T43" s="336">
        <f>IF(Records!AH43="","",Records!AH43)</f>
        <v/>
      </c>
      <c r="U43" s="336">
        <f>IF(Records!AI43="","",Records!AI43)</f>
        <v/>
      </c>
      <c r="V43" s="336">
        <f>IF(Records!AJ43="","",Records!AJ43)</f>
        <v/>
      </c>
      <c r="W43" s="336">
        <f>IF(Records!AK43="","",Records!AK43)</f>
        <v/>
      </c>
      <c r="X43" s="336">
        <f>IF(Records!AL43="","",Records!AL43)</f>
        <v/>
      </c>
      <c r="Y43" s="336">
        <f>IF(Records!AM43="","",Records!AM43)</f>
        <v/>
      </c>
      <c r="Z43" s="336">
        <f>IF(Records!AN43="","",Records!AN43)</f>
        <v/>
      </c>
    </row>
    <row r="44">
      <c r="A44" s="335">
        <f>IF(Records!A44="","",Records!A44)</f>
        <v/>
      </c>
      <c r="B44" s="335">
        <f>IF(Records!B44="","",Records!B44)</f>
        <v/>
      </c>
      <c r="C44" s="336">
        <f>IF(Records!H44="","",Records!H44)</f>
        <v/>
      </c>
      <c r="D44" s="336">
        <f>IF(Records!F44="","",Records!F44)</f>
        <v/>
      </c>
      <c r="E44" s="337">
        <f>IF(AND(COUNTIFS(Participants!$A$3:$A$26,Records!A44,Participants!$V$3:$V$26,"是")=1,Records!AB44="是",Records!AC44="是",Records!AD44="是",COUNT(Records!K44,Records!L44,Records!M44,Records!O44,Records!P44,Records!Q44,Records!R44,Records!S44,Records!T44,Records!U44,Records!V44,Records!W44,Records!X44)=13),"是","否")</f>
        <v/>
      </c>
      <c r="F44" s="336">
        <f>IF(Records!K44="","",Records!K44)</f>
        <v/>
      </c>
      <c r="G44" s="336">
        <f>IF(Records!R44="","",Records!R44)</f>
        <v/>
      </c>
      <c r="H44" s="336">
        <f>IF(Records!L44="","",Records!L44)</f>
        <v/>
      </c>
      <c r="I44" s="336">
        <f>IF(Records!M44="","",Records!M44)</f>
        <v/>
      </c>
      <c r="J44" s="336">
        <f>IF(Records!Q44="","",Records!Q44)</f>
        <v/>
      </c>
      <c r="K44" s="336">
        <f>IF(Records!W44="","",Records!W44)</f>
        <v/>
      </c>
      <c r="L44" s="336">
        <f>IF(Records!X44="","",Records!X44)</f>
        <v/>
      </c>
      <c r="M44" s="336">
        <f>IF(COUNT(Records!S44,Records!T44,Records!U44)=3,AVERAGE(Records!S44,Records!T44,Records!U44),"")</f>
        <v/>
      </c>
      <c r="N44" s="336">
        <f>IF(COUNT(Records!V44,Records!O44,Records!P44)=3,AVERAGE(Records!V44,Records!O44,Records!P44),"")</f>
        <v/>
      </c>
      <c r="O44" s="336">
        <f>IF(Records!N44="","",Records!N44)</f>
        <v/>
      </c>
      <c r="P44" s="337">
        <f>IF(Records!AA44="","",IF(Records!AA44&gt;150,"是","否"))</f>
        <v/>
      </c>
      <c r="Q44" s="337">
        <f>IF(COUNT(Records!K44,Records!L44,Records!M44,Records!O44,Records!P44,Records!Q44,Records!R44,Records!S44,Records!T44,Records!U44,Records!V44,Records!W44,Records!X44)&lt;13,"",IF(OR(AND(Records!K44=Records!L44,Records!L44=Records!M44,Records!M44=Records!O44,Records!O44=Records!P44),AND(Records!L44=Records!M44,Records!M44=Records!O44,Records!O44=Records!P44,Records!P44=Records!Q44),AND(Records!M44=Records!O44,Records!O44=Records!P44,Records!P44=Records!Q44,Records!Q44=Records!R44),AND(Records!O44=Records!P44,Records!P44=Records!Q44,Records!Q44=Records!R44,Records!R44=Records!S44),AND(Records!P44=Records!Q44,Records!Q44=Records!R44,Records!R44=Records!S44,Records!S44=Records!T44),AND(Records!Q44=Records!R44,Records!R44=Records!S44,Records!S44=Records!T44,Records!T44=Records!U44),AND(Records!R44=Records!S44,Records!S44=Records!T44,Records!T44=Records!U44,Records!U44=Records!V44),AND(Records!S44=Records!T44,Records!T44=Records!U44,Records!U44=Records!V44,Records!V44=Records!W44),AND(Records!T44=Records!U44,Records!U44=Records!V44,Records!V44=Records!W44,Records!W44=Records!X44)),"是","否"))</f>
        <v/>
      </c>
      <c r="R44" s="336">
        <f>IF(Records!AF44="","",Records!AF44)</f>
        <v/>
      </c>
      <c r="S44" s="336">
        <f>IF(Records!AG44="","",Records!AG44)</f>
        <v/>
      </c>
      <c r="T44" s="336">
        <f>IF(Records!AH44="","",Records!AH44)</f>
        <v/>
      </c>
      <c r="U44" s="336">
        <f>IF(Records!AI44="","",Records!AI44)</f>
        <v/>
      </c>
      <c r="V44" s="336">
        <f>IF(Records!AJ44="","",Records!AJ44)</f>
        <v/>
      </c>
      <c r="W44" s="336">
        <f>IF(Records!AK44="","",Records!AK44)</f>
        <v/>
      </c>
      <c r="X44" s="336">
        <f>IF(Records!AL44="","",Records!AL44)</f>
        <v/>
      </c>
      <c r="Y44" s="336">
        <f>IF(Records!AM44="","",Records!AM44)</f>
        <v/>
      </c>
      <c r="Z44" s="336">
        <f>IF(Records!AN44="","",Records!AN44)</f>
        <v/>
      </c>
    </row>
    <row r="45">
      <c r="A45" s="335">
        <f>IF(Records!A45="","",Records!A45)</f>
        <v/>
      </c>
      <c r="B45" s="335">
        <f>IF(Records!B45="","",Records!B45)</f>
        <v/>
      </c>
      <c r="C45" s="336">
        <f>IF(Records!H45="","",Records!H45)</f>
        <v/>
      </c>
      <c r="D45" s="336">
        <f>IF(Records!F45="","",Records!F45)</f>
        <v/>
      </c>
      <c r="E45" s="337">
        <f>IF(AND(COUNTIFS(Participants!$A$3:$A$26,Records!A45,Participants!$V$3:$V$26,"是")=1,Records!AB45="是",Records!AC45="是",Records!AD45="是",COUNT(Records!K45,Records!L45,Records!M45,Records!O45,Records!P45,Records!Q45,Records!R45,Records!S45,Records!T45,Records!U45,Records!V45,Records!W45,Records!X45)=13),"是","否")</f>
        <v/>
      </c>
      <c r="F45" s="336">
        <f>IF(Records!K45="","",Records!K45)</f>
        <v/>
      </c>
      <c r="G45" s="336">
        <f>IF(Records!R45="","",Records!R45)</f>
        <v/>
      </c>
      <c r="H45" s="336">
        <f>IF(Records!L45="","",Records!L45)</f>
        <v/>
      </c>
      <c r="I45" s="336">
        <f>IF(Records!M45="","",Records!M45)</f>
        <v/>
      </c>
      <c r="J45" s="336">
        <f>IF(Records!Q45="","",Records!Q45)</f>
        <v/>
      </c>
      <c r="K45" s="336">
        <f>IF(Records!W45="","",Records!W45)</f>
        <v/>
      </c>
      <c r="L45" s="336">
        <f>IF(Records!X45="","",Records!X45)</f>
        <v/>
      </c>
      <c r="M45" s="336">
        <f>IF(COUNT(Records!S45,Records!T45,Records!U45)=3,AVERAGE(Records!S45,Records!T45,Records!U45),"")</f>
        <v/>
      </c>
      <c r="N45" s="336">
        <f>IF(COUNT(Records!V45,Records!O45,Records!P45)=3,AVERAGE(Records!V45,Records!O45,Records!P45),"")</f>
        <v/>
      </c>
      <c r="O45" s="336">
        <f>IF(Records!N45="","",Records!N45)</f>
        <v/>
      </c>
      <c r="P45" s="337">
        <f>IF(Records!AA45="","",IF(Records!AA45&gt;150,"是","否"))</f>
        <v/>
      </c>
      <c r="Q45" s="337">
        <f>IF(COUNT(Records!K45,Records!L45,Records!M45,Records!O45,Records!P45,Records!Q45,Records!R45,Records!S45,Records!T45,Records!U45,Records!V45,Records!W45,Records!X45)&lt;13,"",IF(OR(AND(Records!K45=Records!L45,Records!L45=Records!M45,Records!M45=Records!O45,Records!O45=Records!P45),AND(Records!L45=Records!M45,Records!M45=Records!O45,Records!O45=Records!P45,Records!P45=Records!Q45),AND(Records!M45=Records!O45,Records!O45=Records!P45,Records!P45=Records!Q45,Records!Q45=Records!R45),AND(Records!O45=Records!P45,Records!P45=Records!Q45,Records!Q45=Records!R45,Records!R45=Records!S45),AND(Records!P45=Records!Q45,Records!Q45=Records!R45,Records!R45=Records!S45,Records!S45=Records!T45),AND(Records!Q45=Records!R45,Records!R45=Records!S45,Records!S45=Records!T45,Records!T45=Records!U45),AND(Records!R45=Records!S45,Records!S45=Records!T45,Records!T45=Records!U45,Records!U45=Records!V45),AND(Records!S45=Records!T45,Records!T45=Records!U45,Records!U45=Records!V45,Records!V45=Records!W45),AND(Records!T45=Records!U45,Records!U45=Records!V45,Records!V45=Records!W45,Records!W45=Records!X45)),"是","否"))</f>
        <v/>
      </c>
      <c r="R45" s="336">
        <f>IF(Records!AF45="","",Records!AF45)</f>
        <v/>
      </c>
      <c r="S45" s="336">
        <f>IF(Records!AG45="","",Records!AG45)</f>
        <v/>
      </c>
      <c r="T45" s="336">
        <f>IF(Records!AH45="","",Records!AH45)</f>
        <v/>
      </c>
      <c r="U45" s="336">
        <f>IF(Records!AI45="","",Records!AI45)</f>
        <v/>
      </c>
      <c r="V45" s="336">
        <f>IF(Records!AJ45="","",Records!AJ45)</f>
        <v/>
      </c>
      <c r="W45" s="336">
        <f>IF(Records!AK45="","",Records!AK45)</f>
        <v/>
      </c>
      <c r="X45" s="336">
        <f>IF(Records!AL45="","",Records!AL45)</f>
        <v/>
      </c>
      <c r="Y45" s="336">
        <f>IF(Records!AM45="","",Records!AM45)</f>
        <v/>
      </c>
      <c r="Z45" s="336">
        <f>IF(Records!AN45="","",Records!AN45)</f>
        <v/>
      </c>
    </row>
    <row r="46">
      <c r="A46" s="335">
        <f>IF(Records!A46="","",Records!A46)</f>
        <v/>
      </c>
      <c r="B46" s="335">
        <f>IF(Records!B46="","",Records!B46)</f>
        <v/>
      </c>
      <c r="C46" s="336">
        <f>IF(Records!H46="","",Records!H46)</f>
        <v/>
      </c>
      <c r="D46" s="336">
        <f>IF(Records!F46="","",Records!F46)</f>
        <v/>
      </c>
      <c r="E46" s="337">
        <f>IF(AND(COUNTIFS(Participants!$A$3:$A$26,Records!A46,Participants!$V$3:$V$26,"是")=1,Records!AB46="是",Records!AC46="是",Records!AD46="是",COUNT(Records!K46,Records!L46,Records!M46,Records!O46,Records!P46,Records!Q46,Records!R46,Records!S46,Records!T46,Records!U46,Records!V46,Records!W46,Records!X46)=13),"是","否")</f>
        <v/>
      </c>
      <c r="F46" s="336">
        <f>IF(Records!K46="","",Records!K46)</f>
        <v/>
      </c>
      <c r="G46" s="336">
        <f>IF(Records!R46="","",Records!R46)</f>
        <v/>
      </c>
      <c r="H46" s="336">
        <f>IF(Records!L46="","",Records!L46)</f>
        <v/>
      </c>
      <c r="I46" s="336">
        <f>IF(Records!M46="","",Records!M46)</f>
        <v/>
      </c>
      <c r="J46" s="336">
        <f>IF(Records!Q46="","",Records!Q46)</f>
        <v/>
      </c>
      <c r="K46" s="336">
        <f>IF(Records!W46="","",Records!W46)</f>
        <v/>
      </c>
      <c r="L46" s="336">
        <f>IF(Records!X46="","",Records!X46)</f>
        <v/>
      </c>
      <c r="M46" s="336">
        <f>IF(COUNT(Records!S46,Records!T46,Records!U46)=3,AVERAGE(Records!S46,Records!T46,Records!U46),"")</f>
        <v/>
      </c>
      <c r="N46" s="336">
        <f>IF(COUNT(Records!V46,Records!O46,Records!P46)=3,AVERAGE(Records!V46,Records!O46,Records!P46),"")</f>
        <v/>
      </c>
      <c r="O46" s="336">
        <f>IF(Records!N46="","",Records!N46)</f>
        <v/>
      </c>
      <c r="P46" s="337">
        <f>IF(Records!AA46="","",IF(Records!AA46&gt;150,"是","否"))</f>
        <v/>
      </c>
      <c r="Q46" s="337">
        <f>IF(COUNT(Records!K46,Records!L46,Records!M46,Records!O46,Records!P46,Records!Q46,Records!R46,Records!S46,Records!T46,Records!U46,Records!V46,Records!W46,Records!X46)&lt;13,"",IF(OR(AND(Records!K46=Records!L46,Records!L46=Records!M46,Records!M46=Records!O46,Records!O46=Records!P46),AND(Records!L46=Records!M46,Records!M46=Records!O46,Records!O46=Records!P46,Records!P46=Records!Q46),AND(Records!M46=Records!O46,Records!O46=Records!P46,Records!P46=Records!Q46,Records!Q46=Records!R46),AND(Records!O46=Records!P46,Records!P46=Records!Q46,Records!Q46=Records!R46,Records!R46=Records!S46),AND(Records!P46=Records!Q46,Records!Q46=Records!R46,Records!R46=Records!S46,Records!S46=Records!T46),AND(Records!Q46=Records!R46,Records!R46=Records!S46,Records!S46=Records!T46,Records!T46=Records!U46),AND(Records!R46=Records!S46,Records!S46=Records!T46,Records!T46=Records!U46,Records!U46=Records!V46),AND(Records!S46=Records!T46,Records!T46=Records!U46,Records!U46=Records!V46,Records!V46=Records!W46),AND(Records!T46=Records!U46,Records!U46=Records!V46,Records!V46=Records!W46,Records!W46=Records!X46)),"是","否"))</f>
        <v/>
      </c>
      <c r="R46" s="336">
        <f>IF(Records!AF46="","",Records!AF46)</f>
        <v/>
      </c>
      <c r="S46" s="336">
        <f>IF(Records!AG46="","",Records!AG46)</f>
        <v/>
      </c>
      <c r="T46" s="336">
        <f>IF(Records!AH46="","",Records!AH46)</f>
        <v/>
      </c>
      <c r="U46" s="336">
        <f>IF(Records!AI46="","",Records!AI46)</f>
        <v/>
      </c>
      <c r="V46" s="336">
        <f>IF(Records!AJ46="","",Records!AJ46)</f>
        <v/>
      </c>
      <c r="W46" s="336">
        <f>IF(Records!AK46="","",Records!AK46)</f>
        <v/>
      </c>
      <c r="X46" s="336">
        <f>IF(Records!AL46="","",Records!AL46)</f>
        <v/>
      </c>
      <c r="Y46" s="336">
        <f>IF(Records!AM46="","",Records!AM46)</f>
        <v/>
      </c>
      <c r="Z46" s="336">
        <f>IF(Records!AN46="","",Records!AN46)</f>
        <v/>
      </c>
    </row>
    <row r="47">
      <c r="A47" s="335">
        <f>IF(Records!A47="","",Records!A47)</f>
        <v/>
      </c>
      <c r="B47" s="335">
        <f>IF(Records!B47="","",Records!B47)</f>
        <v/>
      </c>
      <c r="C47" s="336">
        <f>IF(Records!H47="","",Records!H47)</f>
        <v/>
      </c>
      <c r="D47" s="336">
        <f>IF(Records!F47="","",Records!F47)</f>
        <v/>
      </c>
      <c r="E47" s="337">
        <f>IF(AND(COUNTIFS(Participants!$A$3:$A$26,Records!A47,Participants!$V$3:$V$26,"是")=1,Records!AB47="是",Records!AC47="是",Records!AD47="是",COUNT(Records!K47,Records!L47,Records!M47,Records!O47,Records!P47,Records!Q47,Records!R47,Records!S47,Records!T47,Records!U47,Records!V47,Records!W47,Records!X47)=13),"是","否")</f>
        <v/>
      </c>
      <c r="F47" s="336">
        <f>IF(Records!K47="","",Records!K47)</f>
        <v/>
      </c>
      <c r="G47" s="336">
        <f>IF(Records!R47="","",Records!R47)</f>
        <v/>
      </c>
      <c r="H47" s="336">
        <f>IF(Records!L47="","",Records!L47)</f>
        <v/>
      </c>
      <c r="I47" s="336">
        <f>IF(Records!M47="","",Records!M47)</f>
        <v/>
      </c>
      <c r="J47" s="336">
        <f>IF(Records!Q47="","",Records!Q47)</f>
        <v/>
      </c>
      <c r="K47" s="336">
        <f>IF(Records!W47="","",Records!W47)</f>
        <v/>
      </c>
      <c r="L47" s="336">
        <f>IF(Records!X47="","",Records!X47)</f>
        <v/>
      </c>
      <c r="M47" s="336">
        <f>IF(COUNT(Records!S47,Records!T47,Records!U47)=3,AVERAGE(Records!S47,Records!T47,Records!U47),"")</f>
        <v/>
      </c>
      <c r="N47" s="336">
        <f>IF(COUNT(Records!V47,Records!O47,Records!P47)=3,AVERAGE(Records!V47,Records!O47,Records!P47),"")</f>
        <v/>
      </c>
      <c r="O47" s="336">
        <f>IF(Records!N47="","",Records!N47)</f>
        <v/>
      </c>
      <c r="P47" s="337">
        <f>IF(Records!AA47="","",IF(Records!AA47&gt;150,"是","否"))</f>
        <v/>
      </c>
      <c r="Q47" s="337">
        <f>IF(COUNT(Records!K47,Records!L47,Records!M47,Records!O47,Records!P47,Records!Q47,Records!R47,Records!S47,Records!T47,Records!U47,Records!V47,Records!W47,Records!X47)&lt;13,"",IF(OR(AND(Records!K47=Records!L47,Records!L47=Records!M47,Records!M47=Records!O47,Records!O47=Records!P47),AND(Records!L47=Records!M47,Records!M47=Records!O47,Records!O47=Records!P47,Records!P47=Records!Q47),AND(Records!M47=Records!O47,Records!O47=Records!P47,Records!P47=Records!Q47,Records!Q47=Records!R47),AND(Records!O47=Records!P47,Records!P47=Records!Q47,Records!Q47=Records!R47,Records!R47=Records!S47),AND(Records!P47=Records!Q47,Records!Q47=Records!R47,Records!R47=Records!S47,Records!S47=Records!T47),AND(Records!Q47=Records!R47,Records!R47=Records!S47,Records!S47=Records!T47,Records!T47=Records!U47),AND(Records!R47=Records!S47,Records!S47=Records!T47,Records!T47=Records!U47,Records!U47=Records!V47),AND(Records!S47=Records!T47,Records!T47=Records!U47,Records!U47=Records!V47,Records!V47=Records!W47),AND(Records!T47=Records!U47,Records!U47=Records!V47,Records!V47=Records!W47,Records!W47=Records!X47)),"是","否"))</f>
        <v/>
      </c>
      <c r="R47" s="336">
        <f>IF(Records!AF47="","",Records!AF47)</f>
        <v/>
      </c>
      <c r="S47" s="336">
        <f>IF(Records!AG47="","",Records!AG47)</f>
        <v/>
      </c>
      <c r="T47" s="336">
        <f>IF(Records!AH47="","",Records!AH47)</f>
        <v/>
      </c>
      <c r="U47" s="336">
        <f>IF(Records!AI47="","",Records!AI47)</f>
        <v/>
      </c>
      <c r="V47" s="336">
        <f>IF(Records!AJ47="","",Records!AJ47)</f>
        <v/>
      </c>
      <c r="W47" s="336">
        <f>IF(Records!AK47="","",Records!AK47)</f>
        <v/>
      </c>
      <c r="X47" s="336">
        <f>IF(Records!AL47="","",Records!AL47)</f>
        <v/>
      </c>
      <c r="Y47" s="336">
        <f>IF(Records!AM47="","",Records!AM47)</f>
        <v/>
      </c>
      <c r="Z47" s="336">
        <f>IF(Records!AN47="","",Records!AN47)</f>
        <v/>
      </c>
    </row>
    <row r="48">
      <c r="A48" s="335">
        <f>IF(Records!A48="","",Records!A48)</f>
        <v/>
      </c>
      <c r="B48" s="335">
        <f>IF(Records!B48="","",Records!B48)</f>
        <v/>
      </c>
      <c r="C48" s="336">
        <f>IF(Records!H48="","",Records!H48)</f>
        <v/>
      </c>
      <c r="D48" s="336">
        <f>IF(Records!F48="","",Records!F48)</f>
        <v/>
      </c>
      <c r="E48" s="337">
        <f>IF(AND(COUNTIFS(Participants!$A$3:$A$26,Records!A48,Participants!$V$3:$V$26,"是")=1,Records!AB48="是",Records!AC48="是",Records!AD48="是",COUNT(Records!K48,Records!L48,Records!M48,Records!O48,Records!P48,Records!Q48,Records!R48,Records!S48,Records!T48,Records!U48,Records!V48,Records!W48,Records!X48)=13),"是","否")</f>
        <v/>
      </c>
      <c r="F48" s="336">
        <f>IF(Records!K48="","",Records!K48)</f>
        <v/>
      </c>
      <c r="G48" s="336">
        <f>IF(Records!R48="","",Records!R48)</f>
        <v/>
      </c>
      <c r="H48" s="336">
        <f>IF(Records!L48="","",Records!L48)</f>
        <v/>
      </c>
      <c r="I48" s="336">
        <f>IF(Records!M48="","",Records!M48)</f>
        <v/>
      </c>
      <c r="J48" s="336">
        <f>IF(Records!Q48="","",Records!Q48)</f>
        <v/>
      </c>
      <c r="K48" s="336">
        <f>IF(Records!W48="","",Records!W48)</f>
        <v/>
      </c>
      <c r="L48" s="336">
        <f>IF(Records!X48="","",Records!X48)</f>
        <v/>
      </c>
      <c r="M48" s="336">
        <f>IF(COUNT(Records!S48,Records!T48,Records!U48)=3,AVERAGE(Records!S48,Records!T48,Records!U48),"")</f>
        <v/>
      </c>
      <c r="N48" s="336">
        <f>IF(COUNT(Records!V48,Records!O48,Records!P48)=3,AVERAGE(Records!V48,Records!O48,Records!P48),"")</f>
        <v/>
      </c>
      <c r="O48" s="336">
        <f>IF(Records!N48="","",Records!N48)</f>
        <v/>
      </c>
      <c r="P48" s="337">
        <f>IF(Records!AA48="","",IF(Records!AA48&gt;150,"是","否"))</f>
        <v/>
      </c>
      <c r="Q48" s="337">
        <f>IF(COUNT(Records!K48,Records!L48,Records!M48,Records!O48,Records!P48,Records!Q48,Records!R48,Records!S48,Records!T48,Records!U48,Records!V48,Records!W48,Records!X48)&lt;13,"",IF(OR(AND(Records!K48=Records!L48,Records!L48=Records!M48,Records!M48=Records!O48,Records!O48=Records!P48),AND(Records!L48=Records!M48,Records!M48=Records!O48,Records!O48=Records!P48,Records!P48=Records!Q48),AND(Records!M48=Records!O48,Records!O48=Records!P48,Records!P48=Records!Q48,Records!Q48=Records!R48),AND(Records!O48=Records!P48,Records!P48=Records!Q48,Records!Q48=Records!R48,Records!R48=Records!S48),AND(Records!P48=Records!Q48,Records!Q48=Records!R48,Records!R48=Records!S48,Records!S48=Records!T48),AND(Records!Q48=Records!R48,Records!R48=Records!S48,Records!S48=Records!T48,Records!T48=Records!U48),AND(Records!R48=Records!S48,Records!S48=Records!T48,Records!T48=Records!U48,Records!U48=Records!V48),AND(Records!S48=Records!T48,Records!T48=Records!U48,Records!U48=Records!V48,Records!V48=Records!W48),AND(Records!T48=Records!U48,Records!U48=Records!V48,Records!V48=Records!W48,Records!W48=Records!X48)),"是","否"))</f>
        <v/>
      </c>
      <c r="R48" s="336">
        <f>IF(Records!AF48="","",Records!AF48)</f>
        <v/>
      </c>
      <c r="S48" s="336">
        <f>IF(Records!AG48="","",Records!AG48)</f>
        <v/>
      </c>
      <c r="T48" s="336">
        <f>IF(Records!AH48="","",Records!AH48)</f>
        <v/>
      </c>
      <c r="U48" s="336">
        <f>IF(Records!AI48="","",Records!AI48)</f>
        <v/>
      </c>
      <c r="V48" s="336">
        <f>IF(Records!AJ48="","",Records!AJ48)</f>
        <v/>
      </c>
      <c r="W48" s="336">
        <f>IF(Records!AK48="","",Records!AK48)</f>
        <v/>
      </c>
      <c r="X48" s="336">
        <f>IF(Records!AL48="","",Records!AL48)</f>
        <v/>
      </c>
      <c r="Y48" s="336">
        <f>IF(Records!AM48="","",Records!AM48)</f>
        <v/>
      </c>
      <c r="Z48" s="336">
        <f>IF(Records!AN48="","",Records!AN48)</f>
        <v/>
      </c>
    </row>
    <row r="49">
      <c r="A49" s="335">
        <f>IF(Records!A49="","",Records!A49)</f>
        <v/>
      </c>
      <c r="B49" s="335">
        <f>IF(Records!B49="","",Records!B49)</f>
        <v/>
      </c>
      <c r="C49" s="336">
        <f>IF(Records!H49="","",Records!H49)</f>
        <v/>
      </c>
      <c r="D49" s="336">
        <f>IF(Records!F49="","",Records!F49)</f>
        <v/>
      </c>
      <c r="E49" s="337">
        <f>IF(AND(COUNTIFS(Participants!$A$3:$A$26,Records!A49,Participants!$V$3:$V$26,"是")=1,Records!AB49="是",Records!AC49="是",Records!AD49="是",COUNT(Records!K49,Records!L49,Records!M49,Records!O49,Records!P49,Records!Q49,Records!R49,Records!S49,Records!T49,Records!U49,Records!V49,Records!W49,Records!X49)=13),"是","否")</f>
        <v/>
      </c>
      <c r="F49" s="336">
        <f>IF(Records!K49="","",Records!K49)</f>
        <v/>
      </c>
      <c r="G49" s="336">
        <f>IF(Records!R49="","",Records!R49)</f>
        <v/>
      </c>
      <c r="H49" s="336">
        <f>IF(Records!L49="","",Records!L49)</f>
        <v/>
      </c>
      <c r="I49" s="336">
        <f>IF(Records!M49="","",Records!M49)</f>
        <v/>
      </c>
      <c r="J49" s="336">
        <f>IF(Records!Q49="","",Records!Q49)</f>
        <v/>
      </c>
      <c r="K49" s="336">
        <f>IF(Records!W49="","",Records!W49)</f>
        <v/>
      </c>
      <c r="L49" s="336">
        <f>IF(Records!X49="","",Records!X49)</f>
        <v/>
      </c>
      <c r="M49" s="336">
        <f>IF(COUNT(Records!S49,Records!T49,Records!U49)=3,AVERAGE(Records!S49,Records!T49,Records!U49),"")</f>
        <v/>
      </c>
      <c r="N49" s="336">
        <f>IF(COUNT(Records!V49,Records!O49,Records!P49)=3,AVERAGE(Records!V49,Records!O49,Records!P49),"")</f>
        <v/>
      </c>
      <c r="O49" s="336">
        <f>IF(Records!N49="","",Records!N49)</f>
        <v/>
      </c>
      <c r="P49" s="337">
        <f>IF(Records!AA49="","",IF(Records!AA49&gt;150,"是","否"))</f>
        <v/>
      </c>
      <c r="Q49" s="337">
        <f>IF(COUNT(Records!K49,Records!L49,Records!M49,Records!O49,Records!P49,Records!Q49,Records!R49,Records!S49,Records!T49,Records!U49,Records!V49,Records!W49,Records!X49)&lt;13,"",IF(OR(AND(Records!K49=Records!L49,Records!L49=Records!M49,Records!M49=Records!O49,Records!O49=Records!P49),AND(Records!L49=Records!M49,Records!M49=Records!O49,Records!O49=Records!P49,Records!P49=Records!Q49),AND(Records!M49=Records!O49,Records!O49=Records!P49,Records!P49=Records!Q49,Records!Q49=Records!R49),AND(Records!O49=Records!P49,Records!P49=Records!Q49,Records!Q49=Records!R49,Records!R49=Records!S49),AND(Records!P49=Records!Q49,Records!Q49=Records!R49,Records!R49=Records!S49,Records!S49=Records!T49),AND(Records!Q49=Records!R49,Records!R49=Records!S49,Records!S49=Records!T49,Records!T49=Records!U49),AND(Records!R49=Records!S49,Records!S49=Records!T49,Records!T49=Records!U49,Records!U49=Records!V49),AND(Records!S49=Records!T49,Records!T49=Records!U49,Records!U49=Records!V49,Records!V49=Records!W49),AND(Records!T49=Records!U49,Records!U49=Records!V49,Records!V49=Records!W49,Records!W49=Records!X49)),"是","否"))</f>
        <v/>
      </c>
      <c r="R49" s="336">
        <f>IF(Records!AF49="","",Records!AF49)</f>
        <v/>
      </c>
      <c r="S49" s="336">
        <f>IF(Records!AG49="","",Records!AG49)</f>
        <v/>
      </c>
      <c r="T49" s="336">
        <f>IF(Records!AH49="","",Records!AH49)</f>
        <v/>
      </c>
      <c r="U49" s="336">
        <f>IF(Records!AI49="","",Records!AI49)</f>
        <v/>
      </c>
      <c r="V49" s="336">
        <f>IF(Records!AJ49="","",Records!AJ49)</f>
        <v/>
      </c>
      <c r="W49" s="336">
        <f>IF(Records!AK49="","",Records!AK49)</f>
        <v/>
      </c>
      <c r="X49" s="336">
        <f>IF(Records!AL49="","",Records!AL49)</f>
        <v/>
      </c>
      <c r="Y49" s="336">
        <f>IF(Records!AM49="","",Records!AM49)</f>
        <v/>
      </c>
      <c r="Z49" s="336">
        <f>IF(Records!AN49="","",Records!AN49)</f>
        <v/>
      </c>
    </row>
    <row r="50">
      <c r="A50" s="335">
        <f>IF(Records!A50="","",Records!A50)</f>
        <v/>
      </c>
      <c r="B50" s="335">
        <f>IF(Records!B50="","",Records!B50)</f>
        <v/>
      </c>
      <c r="C50" s="336">
        <f>IF(Records!H50="","",Records!H50)</f>
        <v/>
      </c>
      <c r="D50" s="336">
        <f>IF(Records!F50="","",Records!F50)</f>
        <v/>
      </c>
      <c r="E50" s="337">
        <f>IF(AND(COUNTIFS(Participants!$A$3:$A$26,Records!A50,Participants!$V$3:$V$26,"是")=1,Records!AB50="是",Records!AC50="是",Records!AD50="是",COUNT(Records!K50,Records!L50,Records!M50,Records!O50,Records!P50,Records!Q50,Records!R50,Records!S50,Records!T50,Records!U50,Records!V50,Records!W50,Records!X50)=13),"是","否")</f>
        <v/>
      </c>
      <c r="F50" s="336">
        <f>IF(Records!K50="","",Records!K50)</f>
        <v/>
      </c>
      <c r="G50" s="336">
        <f>IF(Records!R50="","",Records!R50)</f>
        <v/>
      </c>
      <c r="H50" s="336">
        <f>IF(Records!L50="","",Records!L50)</f>
        <v/>
      </c>
      <c r="I50" s="336">
        <f>IF(Records!M50="","",Records!M50)</f>
        <v/>
      </c>
      <c r="J50" s="336">
        <f>IF(Records!Q50="","",Records!Q50)</f>
        <v/>
      </c>
      <c r="K50" s="336">
        <f>IF(Records!W50="","",Records!W50)</f>
        <v/>
      </c>
      <c r="L50" s="336">
        <f>IF(Records!X50="","",Records!X50)</f>
        <v/>
      </c>
      <c r="M50" s="336">
        <f>IF(COUNT(Records!S50,Records!T50,Records!U50)=3,AVERAGE(Records!S50,Records!T50,Records!U50),"")</f>
        <v/>
      </c>
      <c r="N50" s="336">
        <f>IF(COUNT(Records!V50,Records!O50,Records!P50)=3,AVERAGE(Records!V50,Records!O50,Records!P50),"")</f>
        <v/>
      </c>
      <c r="O50" s="336">
        <f>IF(Records!N50="","",Records!N50)</f>
        <v/>
      </c>
      <c r="P50" s="337">
        <f>IF(Records!AA50="","",IF(Records!AA50&gt;150,"是","否"))</f>
        <v/>
      </c>
      <c r="Q50" s="337">
        <f>IF(COUNT(Records!K50,Records!L50,Records!M50,Records!O50,Records!P50,Records!Q50,Records!R50,Records!S50,Records!T50,Records!U50,Records!V50,Records!W50,Records!X50)&lt;13,"",IF(OR(AND(Records!K50=Records!L50,Records!L50=Records!M50,Records!M50=Records!O50,Records!O50=Records!P50),AND(Records!L50=Records!M50,Records!M50=Records!O50,Records!O50=Records!P50,Records!P50=Records!Q50),AND(Records!M50=Records!O50,Records!O50=Records!P50,Records!P50=Records!Q50,Records!Q50=Records!R50),AND(Records!O50=Records!P50,Records!P50=Records!Q50,Records!Q50=Records!R50,Records!R50=Records!S50),AND(Records!P50=Records!Q50,Records!Q50=Records!R50,Records!R50=Records!S50,Records!S50=Records!T50),AND(Records!Q50=Records!R50,Records!R50=Records!S50,Records!S50=Records!T50,Records!T50=Records!U50),AND(Records!R50=Records!S50,Records!S50=Records!T50,Records!T50=Records!U50,Records!U50=Records!V50),AND(Records!S50=Records!T50,Records!T50=Records!U50,Records!U50=Records!V50,Records!V50=Records!W50),AND(Records!T50=Records!U50,Records!U50=Records!V50,Records!V50=Records!W50,Records!W50=Records!X50)),"是","否"))</f>
        <v/>
      </c>
      <c r="R50" s="336">
        <f>IF(Records!AF50="","",Records!AF50)</f>
        <v/>
      </c>
      <c r="S50" s="336">
        <f>IF(Records!AG50="","",Records!AG50)</f>
        <v/>
      </c>
      <c r="T50" s="336">
        <f>IF(Records!AH50="","",Records!AH50)</f>
        <v/>
      </c>
      <c r="U50" s="336">
        <f>IF(Records!AI50="","",Records!AI50)</f>
        <v/>
      </c>
      <c r="V50" s="336">
        <f>IF(Records!AJ50="","",Records!AJ50)</f>
        <v/>
      </c>
      <c r="W50" s="336">
        <f>IF(Records!AK50="","",Records!AK50)</f>
        <v/>
      </c>
      <c r="X50" s="336">
        <f>IF(Records!AL50="","",Records!AL50)</f>
        <v/>
      </c>
      <c r="Y50" s="336">
        <f>IF(Records!AM50="","",Records!AM50)</f>
        <v/>
      </c>
      <c r="Z50" s="336">
        <f>IF(Records!AN50="","",Records!AN50)</f>
        <v/>
      </c>
    </row>
    <row r="51">
      <c r="A51" s="335">
        <f>IF(Records!A51="","",Records!A51)</f>
        <v/>
      </c>
      <c r="B51" s="335">
        <f>IF(Records!B51="","",Records!B51)</f>
        <v/>
      </c>
      <c r="C51" s="336">
        <f>IF(Records!H51="","",Records!H51)</f>
        <v/>
      </c>
      <c r="D51" s="336">
        <f>IF(Records!F51="","",Records!F51)</f>
        <v/>
      </c>
      <c r="E51" s="337">
        <f>IF(AND(COUNTIFS(Participants!$A$3:$A$26,Records!A51,Participants!$V$3:$V$26,"是")=1,Records!AB51="是",Records!AC51="是",Records!AD51="是",COUNT(Records!K51,Records!L51,Records!M51,Records!O51,Records!P51,Records!Q51,Records!R51,Records!S51,Records!T51,Records!U51,Records!V51,Records!W51,Records!X51)=13),"是","否")</f>
        <v/>
      </c>
      <c r="F51" s="336">
        <f>IF(Records!K51="","",Records!K51)</f>
        <v/>
      </c>
      <c r="G51" s="336">
        <f>IF(Records!R51="","",Records!R51)</f>
        <v/>
      </c>
      <c r="H51" s="336">
        <f>IF(Records!L51="","",Records!L51)</f>
        <v/>
      </c>
      <c r="I51" s="336">
        <f>IF(Records!M51="","",Records!M51)</f>
        <v/>
      </c>
      <c r="J51" s="336">
        <f>IF(Records!Q51="","",Records!Q51)</f>
        <v/>
      </c>
      <c r="K51" s="336">
        <f>IF(Records!W51="","",Records!W51)</f>
        <v/>
      </c>
      <c r="L51" s="336">
        <f>IF(Records!X51="","",Records!X51)</f>
        <v/>
      </c>
      <c r="M51" s="336">
        <f>IF(COUNT(Records!S51,Records!T51,Records!U51)=3,AVERAGE(Records!S51,Records!T51,Records!U51),"")</f>
        <v/>
      </c>
      <c r="N51" s="336">
        <f>IF(COUNT(Records!V51,Records!O51,Records!P51)=3,AVERAGE(Records!V51,Records!O51,Records!P51),"")</f>
        <v/>
      </c>
      <c r="O51" s="336">
        <f>IF(Records!N51="","",Records!N51)</f>
        <v/>
      </c>
      <c r="P51" s="337">
        <f>IF(Records!AA51="","",IF(Records!AA51&gt;150,"是","否"))</f>
        <v/>
      </c>
      <c r="Q51" s="337">
        <f>IF(COUNT(Records!K51,Records!L51,Records!M51,Records!O51,Records!P51,Records!Q51,Records!R51,Records!S51,Records!T51,Records!U51,Records!V51,Records!W51,Records!X51)&lt;13,"",IF(OR(AND(Records!K51=Records!L51,Records!L51=Records!M51,Records!M51=Records!O51,Records!O51=Records!P51),AND(Records!L51=Records!M51,Records!M51=Records!O51,Records!O51=Records!P51,Records!P51=Records!Q51),AND(Records!M51=Records!O51,Records!O51=Records!P51,Records!P51=Records!Q51,Records!Q51=Records!R51),AND(Records!O51=Records!P51,Records!P51=Records!Q51,Records!Q51=Records!R51,Records!R51=Records!S51),AND(Records!P51=Records!Q51,Records!Q51=Records!R51,Records!R51=Records!S51,Records!S51=Records!T51),AND(Records!Q51=Records!R51,Records!R51=Records!S51,Records!S51=Records!T51,Records!T51=Records!U51),AND(Records!R51=Records!S51,Records!S51=Records!T51,Records!T51=Records!U51,Records!U51=Records!V51),AND(Records!S51=Records!T51,Records!T51=Records!U51,Records!U51=Records!V51,Records!V51=Records!W51),AND(Records!T51=Records!U51,Records!U51=Records!V51,Records!V51=Records!W51,Records!W51=Records!X51)),"是","否"))</f>
        <v/>
      </c>
      <c r="R51" s="336">
        <f>IF(Records!AF51="","",Records!AF51)</f>
        <v/>
      </c>
      <c r="S51" s="336">
        <f>IF(Records!AG51="","",Records!AG51)</f>
        <v/>
      </c>
      <c r="T51" s="336">
        <f>IF(Records!AH51="","",Records!AH51)</f>
        <v/>
      </c>
      <c r="U51" s="336">
        <f>IF(Records!AI51="","",Records!AI51)</f>
        <v/>
      </c>
      <c r="V51" s="336">
        <f>IF(Records!AJ51="","",Records!AJ51)</f>
        <v/>
      </c>
      <c r="W51" s="336">
        <f>IF(Records!AK51="","",Records!AK51)</f>
        <v/>
      </c>
      <c r="X51" s="336">
        <f>IF(Records!AL51="","",Records!AL51)</f>
        <v/>
      </c>
      <c r="Y51" s="336">
        <f>IF(Records!AM51="","",Records!AM51)</f>
        <v/>
      </c>
      <c r="Z51" s="336">
        <f>IF(Records!AN51="","",Records!AN51)</f>
        <v/>
      </c>
    </row>
    <row r="52">
      <c r="A52" s="335">
        <f>IF(Records!A52="","",Records!A52)</f>
        <v/>
      </c>
      <c r="B52" s="335">
        <f>IF(Records!B52="","",Records!B52)</f>
        <v/>
      </c>
      <c r="C52" s="336">
        <f>IF(Records!H52="","",Records!H52)</f>
        <v/>
      </c>
      <c r="D52" s="336">
        <f>IF(Records!F52="","",Records!F52)</f>
        <v/>
      </c>
      <c r="E52" s="337">
        <f>IF(AND(COUNTIFS(Participants!$A$3:$A$26,Records!A52,Participants!$V$3:$V$26,"是")=1,Records!AB52="是",Records!AC52="是",Records!AD52="是",COUNT(Records!K52,Records!L52,Records!M52,Records!O52,Records!P52,Records!Q52,Records!R52,Records!S52,Records!T52,Records!U52,Records!V52,Records!W52,Records!X52)=13),"是","否")</f>
        <v/>
      </c>
      <c r="F52" s="336">
        <f>IF(Records!K52="","",Records!K52)</f>
        <v/>
      </c>
      <c r="G52" s="336">
        <f>IF(Records!R52="","",Records!R52)</f>
        <v/>
      </c>
      <c r="H52" s="336">
        <f>IF(Records!L52="","",Records!L52)</f>
        <v/>
      </c>
      <c r="I52" s="336">
        <f>IF(Records!M52="","",Records!M52)</f>
        <v/>
      </c>
      <c r="J52" s="336">
        <f>IF(Records!Q52="","",Records!Q52)</f>
        <v/>
      </c>
      <c r="K52" s="336">
        <f>IF(Records!W52="","",Records!W52)</f>
        <v/>
      </c>
      <c r="L52" s="336">
        <f>IF(Records!X52="","",Records!X52)</f>
        <v/>
      </c>
      <c r="M52" s="336">
        <f>IF(COUNT(Records!S52,Records!T52,Records!U52)=3,AVERAGE(Records!S52,Records!T52,Records!U52),"")</f>
        <v/>
      </c>
      <c r="N52" s="336">
        <f>IF(COUNT(Records!V52,Records!O52,Records!P52)=3,AVERAGE(Records!V52,Records!O52,Records!P52),"")</f>
        <v/>
      </c>
      <c r="O52" s="336">
        <f>IF(Records!N52="","",Records!N52)</f>
        <v/>
      </c>
      <c r="P52" s="337">
        <f>IF(Records!AA52="","",IF(Records!AA52&gt;150,"是","否"))</f>
        <v/>
      </c>
      <c r="Q52" s="337">
        <f>IF(COUNT(Records!K52,Records!L52,Records!M52,Records!O52,Records!P52,Records!Q52,Records!R52,Records!S52,Records!T52,Records!U52,Records!V52,Records!W52,Records!X52)&lt;13,"",IF(OR(AND(Records!K52=Records!L52,Records!L52=Records!M52,Records!M52=Records!O52,Records!O52=Records!P52),AND(Records!L52=Records!M52,Records!M52=Records!O52,Records!O52=Records!P52,Records!P52=Records!Q52),AND(Records!M52=Records!O52,Records!O52=Records!P52,Records!P52=Records!Q52,Records!Q52=Records!R52),AND(Records!O52=Records!P52,Records!P52=Records!Q52,Records!Q52=Records!R52,Records!R52=Records!S52),AND(Records!P52=Records!Q52,Records!Q52=Records!R52,Records!R52=Records!S52,Records!S52=Records!T52),AND(Records!Q52=Records!R52,Records!R52=Records!S52,Records!S52=Records!T52,Records!T52=Records!U52),AND(Records!R52=Records!S52,Records!S52=Records!T52,Records!T52=Records!U52,Records!U52=Records!V52),AND(Records!S52=Records!T52,Records!T52=Records!U52,Records!U52=Records!V52,Records!V52=Records!W52),AND(Records!T52=Records!U52,Records!U52=Records!V52,Records!V52=Records!W52,Records!W52=Records!X52)),"是","否"))</f>
        <v/>
      </c>
      <c r="R52" s="336">
        <f>IF(Records!AF52="","",Records!AF52)</f>
        <v/>
      </c>
      <c r="S52" s="336">
        <f>IF(Records!AG52="","",Records!AG52)</f>
        <v/>
      </c>
      <c r="T52" s="336">
        <f>IF(Records!AH52="","",Records!AH52)</f>
        <v/>
      </c>
      <c r="U52" s="336">
        <f>IF(Records!AI52="","",Records!AI52)</f>
        <v/>
      </c>
      <c r="V52" s="336">
        <f>IF(Records!AJ52="","",Records!AJ52)</f>
        <v/>
      </c>
      <c r="W52" s="336">
        <f>IF(Records!AK52="","",Records!AK52)</f>
        <v/>
      </c>
      <c r="X52" s="336">
        <f>IF(Records!AL52="","",Records!AL52)</f>
        <v/>
      </c>
      <c r="Y52" s="336">
        <f>IF(Records!AM52="","",Records!AM52)</f>
        <v/>
      </c>
      <c r="Z52" s="336">
        <f>IF(Records!AN52="","",Records!AN52)</f>
        <v/>
      </c>
    </row>
    <row r="53">
      <c r="A53" s="335">
        <f>IF(Records!A53="","",Records!A53)</f>
        <v/>
      </c>
      <c r="B53" s="335">
        <f>IF(Records!B53="","",Records!B53)</f>
        <v/>
      </c>
      <c r="C53" s="336">
        <f>IF(Records!H53="","",Records!H53)</f>
        <v/>
      </c>
      <c r="D53" s="336">
        <f>IF(Records!F53="","",Records!F53)</f>
        <v/>
      </c>
      <c r="E53" s="337">
        <f>IF(AND(COUNTIFS(Participants!$A$3:$A$26,Records!A53,Participants!$V$3:$V$26,"是")=1,Records!AB53="是",Records!AC53="是",Records!AD53="是",COUNT(Records!K53,Records!L53,Records!M53,Records!O53,Records!P53,Records!Q53,Records!R53,Records!S53,Records!T53,Records!U53,Records!V53,Records!W53,Records!X53)=13),"是","否")</f>
        <v/>
      </c>
      <c r="F53" s="336">
        <f>IF(Records!K53="","",Records!K53)</f>
        <v/>
      </c>
      <c r="G53" s="336">
        <f>IF(Records!R53="","",Records!R53)</f>
        <v/>
      </c>
      <c r="H53" s="336">
        <f>IF(Records!L53="","",Records!L53)</f>
        <v/>
      </c>
      <c r="I53" s="336">
        <f>IF(Records!M53="","",Records!M53)</f>
        <v/>
      </c>
      <c r="J53" s="336">
        <f>IF(Records!Q53="","",Records!Q53)</f>
        <v/>
      </c>
      <c r="K53" s="336">
        <f>IF(Records!W53="","",Records!W53)</f>
        <v/>
      </c>
      <c r="L53" s="336">
        <f>IF(Records!X53="","",Records!X53)</f>
        <v/>
      </c>
      <c r="M53" s="336">
        <f>IF(COUNT(Records!S53,Records!T53,Records!U53)=3,AVERAGE(Records!S53,Records!T53,Records!U53),"")</f>
        <v/>
      </c>
      <c r="N53" s="336">
        <f>IF(COUNT(Records!V53,Records!O53,Records!P53)=3,AVERAGE(Records!V53,Records!O53,Records!P53),"")</f>
        <v/>
      </c>
      <c r="O53" s="336">
        <f>IF(Records!N53="","",Records!N53)</f>
        <v/>
      </c>
      <c r="P53" s="337">
        <f>IF(Records!AA53="","",IF(Records!AA53&gt;150,"是","否"))</f>
        <v/>
      </c>
      <c r="Q53" s="337">
        <f>IF(COUNT(Records!K53,Records!L53,Records!M53,Records!O53,Records!P53,Records!Q53,Records!R53,Records!S53,Records!T53,Records!U53,Records!V53,Records!W53,Records!X53)&lt;13,"",IF(OR(AND(Records!K53=Records!L53,Records!L53=Records!M53,Records!M53=Records!O53,Records!O53=Records!P53),AND(Records!L53=Records!M53,Records!M53=Records!O53,Records!O53=Records!P53,Records!P53=Records!Q53),AND(Records!M53=Records!O53,Records!O53=Records!P53,Records!P53=Records!Q53,Records!Q53=Records!R53),AND(Records!O53=Records!P53,Records!P53=Records!Q53,Records!Q53=Records!R53,Records!R53=Records!S53),AND(Records!P53=Records!Q53,Records!Q53=Records!R53,Records!R53=Records!S53,Records!S53=Records!T53),AND(Records!Q53=Records!R53,Records!R53=Records!S53,Records!S53=Records!T53,Records!T53=Records!U53),AND(Records!R53=Records!S53,Records!S53=Records!T53,Records!T53=Records!U53,Records!U53=Records!V53),AND(Records!S53=Records!T53,Records!T53=Records!U53,Records!U53=Records!V53,Records!V53=Records!W53),AND(Records!T53=Records!U53,Records!U53=Records!V53,Records!V53=Records!W53,Records!W53=Records!X53)),"是","否"))</f>
        <v/>
      </c>
      <c r="R53" s="336">
        <f>IF(Records!AF53="","",Records!AF53)</f>
        <v/>
      </c>
      <c r="S53" s="336">
        <f>IF(Records!AG53="","",Records!AG53)</f>
        <v/>
      </c>
      <c r="T53" s="336">
        <f>IF(Records!AH53="","",Records!AH53)</f>
        <v/>
      </c>
      <c r="U53" s="336">
        <f>IF(Records!AI53="","",Records!AI53)</f>
        <v/>
      </c>
      <c r="V53" s="336">
        <f>IF(Records!AJ53="","",Records!AJ53)</f>
        <v/>
      </c>
      <c r="W53" s="336">
        <f>IF(Records!AK53="","",Records!AK53)</f>
        <v/>
      </c>
      <c r="X53" s="336">
        <f>IF(Records!AL53="","",Records!AL53)</f>
        <v/>
      </c>
      <c r="Y53" s="336">
        <f>IF(Records!AM53="","",Records!AM53)</f>
        <v/>
      </c>
      <c r="Z53" s="336">
        <f>IF(Records!AN53="","",Records!AN53)</f>
        <v/>
      </c>
    </row>
    <row r="54">
      <c r="A54" s="335">
        <f>IF(Records!A54="","",Records!A54)</f>
        <v/>
      </c>
      <c r="B54" s="335">
        <f>IF(Records!B54="","",Records!B54)</f>
        <v/>
      </c>
      <c r="C54" s="336">
        <f>IF(Records!H54="","",Records!H54)</f>
        <v/>
      </c>
      <c r="D54" s="336">
        <f>IF(Records!F54="","",Records!F54)</f>
        <v/>
      </c>
      <c r="E54" s="337">
        <f>IF(AND(COUNTIFS(Participants!$A$3:$A$26,Records!A54,Participants!$V$3:$V$26,"是")=1,Records!AB54="是",Records!AC54="是",Records!AD54="是",COUNT(Records!K54,Records!L54,Records!M54,Records!O54,Records!P54,Records!Q54,Records!R54,Records!S54,Records!T54,Records!U54,Records!V54,Records!W54,Records!X54)=13),"是","否")</f>
        <v/>
      </c>
      <c r="F54" s="336">
        <f>IF(Records!K54="","",Records!K54)</f>
        <v/>
      </c>
      <c r="G54" s="336">
        <f>IF(Records!R54="","",Records!R54)</f>
        <v/>
      </c>
      <c r="H54" s="336">
        <f>IF(Records!L54="","",Records!L54)</f>
        <v/>
      </c>
      <c r="I54" s="336">
        <f>IF(Records!M54="","",Records!M54)</f>
        <v/>
      </c>
      <c r="J54" s="336">
        <f>IF(Records!Q54="","",Records!Q54)</f>
        <v/>
      </c>
      <c r="K54" s="336">
        <f>IF(Records!W54="","",Records!W54)</f>
        <v/>
      </c>
      <c r="L54" s="336">
        <f>IF(Records!X54="","",Records!X54)</f>
        <v/>
      </c>
      <c r="M54" s="336">
        <f>IF(COUNT(Records!S54,Records!T54,Records!U54)=3,AVERAGE(Records!S54,Records!T54,Records!U54),"")</f>
        <v/>
      </c>
      <c r="N54" s="336">
        <f>IF(COUNT(Records!V54,Records!O54,Records!P54)=3,AVERAGE(Records!V54,Records!O54,Records!P54),"")</f>
        <v/>
      </c>
      <c r="O54" s="336">
        <f>IF(Records!N54="","",Records!N54)</f>
        <v/>
      </c>
      <c r="P54" s="337">
        <f>IF(Records!AA54="","",IF(Records!AA54&gt;150,"是","否"))</f>
        <v/>
      </c>
      <c r="Q54" s="337">
        <f>IF(COUNT(Records!K54,Records!L54,Records!M54,Records!O54,Records!P54,Records!Q54,Records!R54,Records!S54,Records!T54,Records!U54,Records!V54,Records!W54,Records!X54)&lt;13,"",IF(OR(AND(Records!K54=Records!L54,Records!L54=Records!M54,Records!M54=Records!O54,Records!O54=Records!P54),AND(Records!L54=Records!M54,Records!M54=Records!O54,Records!O54=Records!P54,Records!P54=Records!Q54),AND(Records!M54=Records!O54,Records!O54=Records!P54,Records!P54=Records!Q54,Records!Q54=Records!R54),AND(Records!O54=Records!P54,Records!P54=Records!Q54,Records!Q54=Records!R54,Records!R54=Records!S54),AND(Records!P54=Records!Q54,Records!Q54=Records!R54,Records!R54=Records!S54,Records!S54=Records!T54),AND(Records!Q54=Records!R54,Records!R54=Records!S54,Records!S54=Records!T54,Records!T54=Records!U54),AND(Records!R54=Records!S54,Records!S54=Records!T54,Records!T54=Records!U54,Records!U54=Records!V54),AND(Records!S54=Records!T54,Records!T54=Records!U54,Records!U54=Records!V54,Records!V54=Records!W54),AND(Records!T54=Records!U54,Records!U54=Records!V54,Records!V54=Records!W54,Records!W54=Records!X54)),"是","否"))</f>
        <v/>
      </c>
      <c r="R54" s="336">
        <f>IF(Records!AF54="","",Records!AF54)</f>
        <v/>
      </c>
      <c r="S54" s="336">
        <f>IF(Records!AG54="","",Records!AG54)</f>
        <v/>
      </c>
      <c r="T54" s="336">
        <f>IF(Records!AH54="","",Records!AH54)</f>
        <v/>
      </c>
      <c r="U54" s="336">
        <f>IF(Records!AI54="","",Records!AI54)</f>
        <v/>
      </c>
      <c r="V54" s="336">
        <f>IF(Records!AJ54="","",Records!AJ54)</f>
        <v/>
      </c>
      <c r="W54" s="336">
        <f>IF(Records!AK54="","",Records!AK54)</f>
        <v/>
      </c>
      <c r="X54" s="336">
        <f>IF(Records!AL54="","",Records!AL54)</f>
        <v/>
      </c>
      <c r="Y54" s="336">
        <f>IF(Records!AM54="","",Records!AM54)</f>
        <v/>
      </c>
      <c r="Z54" s="336">
        <f>IF(Records!AN54="","",Records!AN54)</f>
        <v/>
      </c>
    </row>
    <row r="55">
      <c r="A55" s="335">
        <f>IF(Records!A55="","",Records!A55)</f>
        <v/>
      </c>
      <c r="B55" s="335">
        <f>IF(Records!B55="","",Records!B55)</f>
        <v/>
      </c>
      <c r="C55" s="336">
        <f>IF(Records!H55="","",Records!H55)</f>
        <v/>
      </c>
      <c r="D55" s="336">
        <f>IF(Records!F55="","",Records!F55)</f>
        <v/>
      </c>
      <c r="E55" s="337">
        <f>IF(AND(COUNTIFS(Participants!$A$3:$A$26,Records!A55,Participants!$V$3:$V$26,"是")=1,Records!AB55="是",Records!AC55="是",Records!AD55="是",COUNT(Records!K55,Records!L55,Records!M55,Records!O55,Records!P55,Records!Q55,Records!R55,Records!S55,Records!T55,Records!U55,Records!V55,Records!W55,Records!X55)=13),"是","否")</f>
        <v/>
      </c>
      <c r="F55" s="336">
        <f>IF(Records!K55="","",Records!K55)</f>
        <v/>
      </c>
      <c r="G55" s="336">
        <f>IF(Records!R55="","",Records!R55)</f>
        <v/>
      </c>
      <c r="H55" s="336">
        <f>IF(Records!L55="","",Records!L55)</f>
        <v/>
      </c>
      <c r="I55" s="336">
        <f>IF(Records!M55="","",Records!M55)</f>
        <v/>
      </c>
      <c r="J55" s="336">
        <f>IF(Records!Q55="","",Records!Q55)</f>
        <v/>
      </c>
      <c r="K55" s="336">
        <f>IF(Records!W55="","",Records!W55)</f>
        <v/>
      </c>
      <c r="L55" s="336">
        <f>IF(Records!X55="","",Records!X55)</f>
        <v/>
      </c>
      <c r="M55" s="336">
        <f>IF(COUNT(Records!S55,Records!T55,Records!U55)=3,AVERAGE(Records!S55,Records!T55,Records!U55),"")</f>
        <v/>
      </c>
      <c r="N55" s="336">
        <f>IF(COUNT(Records!V55,Records!O55,Records!P55)=3,AVERAGE(Records!V55,Records!O55,Records!P55),"")</f>
        <v/>
      </c>
      <c r="O55" s="336">
        <f>IF(Records!N55="","",Records!N55)</f>
        <v/>
      </c>
      <c r="P55" s="337">
        <f>IF(Records!AA55="","",IF(Records!AA55&gt;150,"是","否"))</f>
        <v/>
      </c>
      <c r="Q55" s="337">
        <f>IF(COUNT(Records!K55,Records!L55,Records!M55,Records!O55,Records!P55,Records!Q55,Records!R55,Records!S55,Records!T55,Records!U55,Records!V55,Records!W55,Records!X55)&lt;13,"",IF(OR(AND(Records!K55=Records!L55,Records!L55=Records!M55,Records!M55=Records!O55,Records!O55=Records!P55),AND(Records!L55=Records!M55,Records!M55=Records!O55,Records!O55=Records!P55,Records!P55=Records!Q55),AND(Records!M55=Records!O55,Records!O55=Records!P55,Records!P55=Records!Q55,Records!Q55=Records!R55),AND(Records!O55=Records!P55,Records!P55=Records!Q55,Records!Q55=Records!R55,Records!R55=Records!S55),AND(Records!P55=Records!Q55,Records!Q55=Records!R55,Records!R55=Records!S55,Records!S55=Records!T55),AND(Records!Q55=Records!R55,Records!R55=Records!S55,Records!S55=Records!T55,Records!T55=Records!U55),AND(Records!R55=Records!S55,Records!S55=Records!T55,Records!T55=Records!U55,Records!U55=Records!V55),AND(Records!S55=Records!T55,Records!T55=Records!U55,Records!U55=Records!V55,Records!V55=Records!W55),AND(Records!T55=Records!U55,Records!U55=Records!V55,Records!V55=Records!W55,Records!W55=Records!X55)),"是","否"))</f>
        <v/>
      </c>
      <c r="R55" s="336">
        <f>IF(Records!AF55="","",Records!AF55)</f>
        <v/>
      </c>
      <c r="S55" s="336">
        <f>IF(Records!AG55="","",Records!AG55)</f>
        <v/>
      </c>
      <c r="T55" s="336">
        <f>IF(Records!AH55="","",Records!AH55)</f>
        <v/>
      </c>
      <c r="U55" s="336">
        <f>IF(Records!AI55="","",Records!AI55)</f>
        <v/>
      </c>
      <c r="V55" s="336">
        <f>IF(Records!AJ55="","",Records!AJ55)</f>
        <v/>
      </c>
      <c r="W55" s="336">
        <f>IF(Records!AK55="","",Records!AK55)</f>
        <v/>
      </c>
      <c r="X55" s="336">
        <f>IF(Records!AL55="","",Records!AL55)</f>
        <v/>
      </c>
      <c r="Y55" s="336">
        <f>IF(Records!AM55="","",Records!AM55)</f>
        <v/>
      </c>
      <c r="Z55" s="336">
        <f>IF(Records!AN55="","",Records!AN55)</f>
        <v/>
      </c>
    </row>
    <row r="56">
      <c r="A56" s="335">
        <f>IF(Records!A56="","",Records!A56)</f>
        <v/>
      </c>
      <c r="B56" s="335">
        <f>IF(Records!B56="","",Records!B56)</f>
        <v/>
      </c>
      <c r="C56" s="336">
        <f>IF(Records!H56="","",Records!H56)</f>
        <v/>
      </c>
      <c r="D56" s="336">
        <f>IF(Records!F56="","",Records!F56)</f>
        <v/>
      </c>
      <c r="E56" s="337">
        <f>IF(AND(COUNTIFS(Participants!$A$3:$A$26,Records!A56,Participants!$V$3:$V$26,"是")=1,Records!AB56="是",Records!AC56="是",Records!AD56="是",COUNT(Records!K56,Records!L56,Records!M56,Records!O56,Records!P56,Records!Q56,Records!R56,Records!S56,Records!T56,Records!U56,Records!V56,Records!W56,Records!X56)=13),"是","否")</f>
        <v/>
      </c>
      <c r="F56" s="336">
        <f>IF(Records!K56="","",Records!K56)</f>
        <v/>
      </c>
      <c r="G56" s="336">
        <f>IF(Records!R56="","",Records!R56)</f>
        <v/>
      </c>
      <c r="H56" s="336">
        <f>IF(Records!L56="","",Records!L56)</f>
        <v/>
      </c>
      <c r="I56" s="336">
        <f>IF(Records!M56="","",Records!M56)</f>
        <v/>
      </c>
      <c r="J56" s="336">
        <f>IF(Records!Q56="","",Records!Q56)</f>
        <v/>
      </c>
      <c r="K56" s="336">
        <f>IF(Records!W56="","",Records!W56)</f>
        <v/>
      </c>
      <c r="L56" s="336">
        <f>IF(Records!X56="","",Records!X56)</f>
        <v/>
      </c>
      <c r="M56" s="336">
        <f>IF(COUNT(Records!S56,Records!T56,Records!U56)=3,AVERAGE(Records!S56,Records!T56,Records!U56),"")</f>
        <v/>
      </c>
      <c r="N56" s="336">
        <f>IF(COUNT(Records!V56,Records!O56,Records!P56)=3,AVERAGE(Records!V56,Records!O56,Records!P56),"")</f>
        <v/>
      </c>
      <c r="O56" s="336">
        <f>IF(Records!N56="","",Records!N56)</f>
        <v/>
      </c>
      <c r="P56" s="337">
        <f>IF(Records!AA56="","",IF(Records!AA56&gt;150,"是","否"))</f>
        <v/>
      </c>
      <c r="Q56" s="337">
        <f>IF(COUNT(Records!K56,Records!L56,Records!M56,Records!O56,Records!P56,Records!Q56,Records!R56,Records!S56,Records!T56,Records!U56,Records!V56,Records!W56,Records!X56)&lt;13,"",IF(OR(AND(Records!K56=Records!L56,Records!L56=Records!M56,Records!M56=Records!O56,Records!O56=Records!P56),AND(Records!L56=Records!M56,Records!M56=Records!O56,Records!O56=Records!P56,Records!P56=Records!Q56),AND(Records!M56=Records!O56,Records!O56=Records!P56,Records!P56=Records!Q56,Records!Q56=Records!R56),AND(Records!O56=Records!P56,Records!P56=Records!Q56,Records!Q56=Records!R56,Records!R56=Records!S56),AND(Records!P56=Records!Q56,Records!Q56=Records!R56,Records!R56=Records!S56,Records!S56=Records!T56),AND(Records!Q56=Records!R56,Records!R56=Records!S56,Records!S56=Records!T56,Records!T56=Records!U56),AND(Records!R56=Records!S56,Records!S56=Records!T56,Records!T56=Records!U56,Records!U56=Records!V56),AND(Records!S56=Records!T56,Records!T56=Records!U56,Records!U56=Records!V56,Records!V56=Records!W56),AND(Records!T56=Records!U56,Records!U56=Records!V56,Records!V56=Records!W56,Records!W56=Records!X56)),"是","否"))</f>
        <v/>
      </c>
      <c r="R56" s="336">
        <f>IF(Records!AF56="","",Records!AF56)</f>
        <v/>
      </c>
      <c r="S56" s="336">
        <f>IF(Records!AG56="","",Records!AG56)</f>
        <v/>
      </c>
      <c r="T56" s="336">
        <f>IF(Records!AH56="","",Records!AH56)</f>
        <v/>
      </c>
      <c r="U56" s="336">
        <f>IF(Records!AI56="","",Records!AI56)</f>
        <v/>
      </c>
      <c r="V56" s="336">
        <f>IF(Records!AJ56="","",Records!AJ56)</f>
        <v/>
      </c>
      <c r="W56" s="336">
        <f>IF(Records!AK56="","",Records!AK56)</f>
        <v/>
      </c>
      <c r="X56" s="336">
        <f>IF(Records!AL56="","",Records!AL56)</f>
        <v/>
      </c>
      <c r="Y56" s="336">
        <f>IF(Records!AM56="","",Records!AM56)</f>
        <v/>
      </c>
      <c r="Z56" s="336">
        <f>IF(Records!AN56="","",Records!AN56)</f>
        <v/>
      </c>
    </row>
    <row r="57">
      <c r="A57" s="335">
        <f>IF(Records!A57="","",Records!A57)</f>
        <v/>
      </c>
      <c r="B57" s="335">
        <f>IF(Records!B57="","",Records!B57)</f>
        <v/>
      </c>
      <c r="C57" s="336">
        <f>IF(Records!H57="","",Records!H57)</f>
        <v/>
      </c>
      <c r="D57" s="336">
        <f>IF(Records!F57="","",Records!F57)</f>
        <v/>
      </c>
      <c r="E57" s="337">
        <f>IF(AND(COUNTIFS(Participants!$A$3:$A$26,Records!A57,Participants!$V$3:$V$26,"是")=1,Records!AB57="是",Records!AC57="是",Records!AD57="是",COUNT(Records!K57,Records!L57,Records!M57,Records!O57,Records!P57,Records!Q57,Records!R57,Records!S57,Records!T57,Records!U57,Records!V57,Records!W57,Records!X57)=13),"是","否")</f>
        <v/>
      </c>
      <c r="F57" s="336">
        <f>IF(Records!K57="","",Records!K57)</f>
        <v/>
      </c>
      <c r="G57" s="336">
        <f>IF(Records!R57="","",Records!R57)</f>
        <v/>
      </c>
      <c r="H57" s="336">
        <f>IF(Records!L57="","",Records!L57)</f>
        <v/>
      </c>
      <c r="I57" s="336">
        <f>IF(Records!M57="","",Records!M57)</f>
        <v/>
      </c>
      <c r="J57" s="336">
        <f>IF(Records!Q57="","",Records!Q57)</f>
        <v/>
      </c>
      <c r="K57" s="336">
        <f>IF(Records!W57="","",Records!W57)</f>
        <v/>
      </c>
      <c r="L57" s="336">
        <f>IF(Records!X57="","",Records!X57)</f>
        <v/>
      </c>
      <c r="M57" s="336">
        <f>IF(COUNT(Records!S57,Records!T57,Records!U57)=3,AVERAGE(Records!S57,Records!T57,Records!U57),"")</f>
        <v/>
      </c>
      <c r="N57" s="336">
        <f>IF(COUNT(Records!V57,Records!O57,Records!P57)=3,AVERAGE(Records!V57,Records!O57,Records!P57),"")</f>
        <v/>
      </c>
      <c r="O57" s="336">
        <f>IF(Records!N57="","",Records!N57)</f>
        <v/>
      </c>
      <c r="P57" s="337">
        <f>IF(Records!AA57="","",IF(Records!AA57&gt;150,"是","否"))</f>
        <v/>
      </c>
      <c r="Q57" s="337">
        <f>IF(COUNT(Records!K57,Records!L57,Records!M57,Records!O57,Records!P57,Records!Q57,Records!R57,Records!S57,Records!T57,Records!U57,Records!V57,Records!W57,Records!X57)&lt;13,"",IF(OR(AND(Records!K57=Records!L57,Records!L57=Records!M57,Records!M57=Records!O57,Records!O57=Records!P57),AND(Records!L57=Records!M57,Records!M57=Records!O57,Records!O57=Records!P57,Records!P57=Records!Q57),AND(Records!M57=Records!O57,Records!O57=Records!P57,Records!P57=Records!Q57,Records!Q57=Records!R57),AND(Records!O57=Records!P57,Records!P57=Records!Q57,Records!Q57=Records!R57,Records!R57=Records!S57),AND(Records!P57=Records!Q57,Records!Q57=Records!R57,Records!R57=Records!S57,Records!S57=Records!T57),AND(Records!Q57=Records!R57,Records!R57=Records!S57,Records!S57=Records!T57,Records!T57=Records!U57),AND(Records!R57=Records!S57,Records!S57=Records!T57,Records!T57=Records!U57,Records!U57=Records!V57),AND(Records!S57=Records!T57,Records!T57=Records!U57,Records!U57=Records!V57,Records!V57=Records!W57),AND(Records!T57=Records!U57,Records!U57=Records!V57,Records!V57=Records!W57,Records!W57=Records!X57)),"是","否"))</f>
        <v/>
      </c>
      <c r="R57" s="336">
        <f>IF(Records!AF57="","",Records!AF57)</f>
        <v/>
      </c>
      <c r="S57" s="336">
        <f>IF(Records!AG57="","",Records!AG57)</f>
        <v/>
      </c>
      <c r="T57" s="336">
        <f>IF(Records!AH57="","",Records!AH57)</f>
        <v/>
      </c>
      <c r="U57" s="336">
        <f>IF(Records!AI57="","",Records!AI57)</f>
        <v/>
      </c>
      <c r="V57" s="336">
        <f>IF(Records!AJ57="","",Records!AJ57)</f>
        <v/>
      </c>
      <c r="W57" s="336">
        <f>IF(Records!AK57="","",Records!AK57)</f>
        <v/>
      </c>
      <c r="X57" s="336">
        <f>IF(Records!AL57="","",Records!AL57)</f>
        <v/>
      </c>
      <c r="Y57" s="336">
        <f>IF(Records!AM57="","",Records!AM57)</f>
        <v/>
      </c>
      <c r="Z57" s="336">
        <f>IF(Records!AN57="","",Records!AN57)</f>
        <v/>
      </c>
    </row>
    <row r="58">
      <c r="A58" s="335">
        <f>IF(Records!A58="","",Records!A58)</f>
        <v/>
      </c>
      <c r="B58" s="335">
        <f>IF(Records!B58="","",Records!B58)</f>
        <v/>
      </c>
      <c r="C58" s="336">
        <f>IF(Records!H58="","",Records!H58)</f>
        <v/>
      </c>
      <c r="D58" s="336">
        <f>IF(Records!F58="","",Records!F58)</f>
        <v/>
      </c>
      <c r="E58" s="337">
        <f>IF(AND(COUNTIFS(Participants!$A$3:$A$26,Records!A58,Participants!$V$3:$V$26,"是")=1,Records!AB58="是",Records!AC58="是",Records!AD58="是",COUNT(Records!K58,Records!L58,Records!M58,Records!O58,Records!P58,Records!Q58,Records!R58,Records!S58,Records!T58,Records!U58,Records!V58,Records!W58,Records!X58)=13),"是","否")</f>
        <v/>
      </c>
      <c r="F58" s="336">
        <f>IF(Records!K58="","",Records!K58)</f>
        <v/>
      </c>
      <c r="G58" s="336">
        <f>IF(Records!R58="","",Records!R58)</f>
        <v/>
      </c>
      <c r="H58" s="336">
        <f>IF(Records!L58="","",Records!L58)</f>
        <v/>
      </c>
      <c r="I58" s="336">
        <f>IF(Records!M58="","",Records!M58)</f>
        <v/>
      </c>
      <c r="J58" s="336">
        <f>IF(Records!Q58="","",Records!Q58)</f>
        <v/>
      </c>
      <c r="K58" s="336">
        <f>IF(Records!W58="","",Records!W58)</f>
        <v/>
      </c>
      <c r="L58" s="336">
        <f>IF(Records!X58="","",Records!X58)</f>
        <v/>
      </c>
      <c r="M58" s="336">
        <f>IF(COUNT(Records!S58,Records!T58,Records!U58)=3,AVERAGE(Records!S58,Records!T58,Records!U58),"")</f>
        <v/>
      </c>
      <c r="N58" s="336">
        <f>IF(COUNT(Records!V58,Records!O58,Records!P58)=3,AVERAGE(Records!V58,Records!O58,Records!P58),"")</f>
        <v/>
      </c>
      <c r="O58" s="336">
        <f>IF(Records!N58="","",Records!N58)</f>
        <v/>
      </c>
      <c r="P58" s="337">
        <f>IF(Records!AA58="","",IF(Records!AA58&gt;150,"是","否"))</f>
        <v/>
      </c>
      <c r="Q58" s="337">
        <f>IF(COUNT(Records!K58,Records!L58,Records!M58,Records!O58,Records!P58,Records!Q58,Records!R58,Records!S58,Records!T58,Records!U58,Records!V58,Records!W58,Records!X58)&lt;13,"",IF(OR(AND(Records!K58=Records!L58,Records!L58=Records!M58,Records!M58=Records!O58,Records!O58=Records!P58),AND(Records!L58=Records!M58,Records!M58=Records!O58,Records!O58=Records!P58,Records!P58=Records!Q58),AND(Records!M58=Records!O58,Records!O58=Records!P58,Records!P58=Records!Q58,Records!Q58=Records!R58),AND(Records!O58=Records!P58,Records!P58=Records!Q58,Records!Q58=Records!R58,Records!R58=Records!S58),AND(Records!P58=Records!Q58,Records!Q58=Records!R58,Records!R58=Records!S58,Records!S58=Records!T58),AND(Records!Q58=Records!R58,Records!R58=Records!S58,Records!S58=Records!T58,Records!T58=Records!U58),AND(Records!R58=Records!S58,Records!S58=Records!T58,Records!T58=Records!U58,Records!U58=Records!V58),AND(Records!S58=Records!T58,Records!T58=Records!U58,Records!U58=Records!V58,Records!V58=Records!W58),AND(Records!T58=Records!U58,Records!U58=Records!V58,Records!V58=Records!W58,Records!W58=Records!X58)),"是","否"))</f>
        <v/>
      </c>
      <c r="R58" s="336">
        <f>IF(Records!AF58="","",Records!AF58)</f>
        <v/>
      </c>
      <c r="S58" s="336">
        <f>IF(Records!AG58="","",Records!AG58)</f>
        <v/>
      </c>
      <c r="T58" s="336">
        <f>IF(Records!AH58="","",Records!AH58)</f>
        <v/>
      </c>
      <c r="U58" s="336">
        <f>IF(Records!AI58="","",Records!AI58)</f>
        <v/>
      </c>
      <c r="V58" s="336">
        <f>IF(Records!AJ58="","",Records!AJ58)</f>
        <v/>
      </c>
      <c r="W58" s="336">
        <f>IF(Records!AK58="","",Records!AK58)</f>
        <v/>
      </c>
      <c r="X58" s="336">
        <f>IF(Records!AL58="","",Records!AL58)</f>
        <v/>
      </c>
      <c r="Y58" s="336">
        <f>IF(Records!AM58="","",Records!AM58)</f>
        <v/>
      </c>
      <c r="Z58" s="336">
        <f>IF(Records!AN58="","",Records!AN58)</f>
        <v/>
      </c>
    </row>
    <row r="59">
      <c r="A59" s="335">
        <f>IF(Records!A59="","",Records!A59)</f>
        <v/>
      </c>
      <c r="B59" s="335">
        <f>IF(Records!B59="","",Records!B59)</f>
        <v/>
      </c>
      <c r="C59" s="336">
        <f>IF(Records!H59="","",Records!H59)</f>
        <v/>
      </c>
      <c r="D59" s="336">
        <f>IF(Records!F59="","",Records!F59)</f>
        <v/>
      </c>
      <c r="E59" s="337">
        <f>IF(AND(COUNTIFS(Participants!$A$3:$A$26,Records!A59,Participants!$V$3:$V$26,"是")=1,Records!AB59="是",Records!AC59="是",Records!AD59="是",COUNT(Records!K59,Records!L59,Records!M59,Records!O59,Records!P59,Records!Q59,Records!R59,Records!S59,Records!T59,Records!U59,Records!V59,Records!W59,Records!X59)=13),"是","否")</f>
        <v/>
      </c>
      <c r="F59" s="336">
        <f>IF(Records!K59="","",Records!K59)</f>
        <v/>
      </c>
      <c r="G59" s="336">
        <f>IF(Records!R59="","",Records!R59)</f>
        <v/>
      </c>
      <c r="H59" s="336">
        <f>IF(Records!L59="","",Records!L59)</f>
        <v/>
      </c>
      <c r="I59" s="336">
        <f>IF(Records!M59="","",Records!M59)</f>
        <v/>
      </c>
      <c r="J59" s="336">
        <f>IF(Records!Q59="","",Records!Q59)</f>
        <v/>
      </c>
      <c r="K59" s="336">
        <f>IF(Records!W59="","",Records!W59)</f>
        <v/>
      </c>
      <c r="L59" s="336">
        <f>IF(Records!X59="","",Records!X59)</f>
        <v/>
      </c>
      <c r="M59" s="336">
        <f>IF(COUNT(Records!S59,Records!T59,Records!U59)=3,AVERAGE(Records!S59,Records!T59,Records!U59),"")</f>
        <v/>
      </c>
      <c r="N59" s="336">
        <f>IF(COUNT(Records!V59,Records!O59,Records!P59)=3,AVERAGE(Records!V59,Records!O59,Records!P59),"")</f>
        <v/>
      </c>
      <c r="O59" s="336">
        <f>IF(Records!N59="","",Records!N59)</f>
        <v/>
      </c>
      <c r="P59" s="337">
        <f>IF(Records!AA59="","",IF(Records!AA59&gt;150,"是","否"))</f>
        <v/>
      </c>
      <c r="Q59" s="337">
        <f>IF(COUNT(Records!K59,Records!L59,Records!M59,Records!O59,Records!P59,Records!Q59,Records!R59,Records!S59,Records!T59,Records!U59,Records!V59,Records!W59,Records!X59)&lt;13,"",IF(OR(AND(Records!K59=Records!L59,Records!L59=Records!M59,Records!M59=Records!O59,Records!O59=Records!P59),AND(Records!L59=Records!M59,Records!M59=Records!O59,Records!O59=Records!P59,Records!P59=Records!Q59),AND(Records!M59=Records!O59,Records!O59=Records!P59,Records!P59=Records!Q59,Records!Q59=Records!R59),AND(Records!O59=Records!P59,Records!P59=Records!Q59,Records!Q59=Records!R59,Records!R59=Records!S59),AND(Records!P59=Records!Q59,Records!Q59=Records!R59,Records!R59=Records!S59,Records!S59=Records!T59),AND(Records!Q59=Records!R59,Records!R59=Records!S59,Records!S59=Records!T59,Records!T59=Records!U59),AND(Records!R59=Records!S59,Records!S59=Records!T59,Records!T59=Records!U59,Records!U59=Records!V59),AND(Records!S59=Records!T59,Records!T59=Records!U59,Records!U59=Records!V59,Records!V59=Records!W59),AND(Records!T59=Records!U59,Records!U59=Records!V59,Records!V59=Records!W59,Records!W59=Records!X59)),"是","否"))</f>
        <v/>
      </c>
      <c r="R59" s="336">
        <f>IF(Records!AF59="","",Records!AF59)</f>
        <v/>
      </c>
      <c r="S59" s="336">
        <f>IF(Records!AG59="","",Records!AG59)</f>
        <v/>
      </c>
      <c r="T59" s="336">
        <f>IF(Records!AH59="","",Records!AH59)</f>
        <v/>
      </c>
      <c r="U59" s="336">
        <f>IF(Records!AI59="","",Records!AI59)</f>
        <v/>
      </c>
      <c r="V59" s="336">
        <f>IF(Records!AJ59="","",Records!AJ59)</f>
        <v/>
      </c>
      <c r="W59" s="336">
        <f>IF(Records!AK59="","",Records!AK59)</f>
        <v/>
      </c>
      <c r="X59" s="336">
        <f>IF(Records!AL59="","",Records!AL59)</f>
        <v/>
      </c>
      <c r="Y59" s="336">
        <f>IF(Records!AM59="","",Records!AM59)</f>
        <v/>
      </c>
      <c r="Z59" s="336">
        <f>IF(Records!AN59="","",Records!AN59)</f>
        <v/>
      </c>
    </row>
    <row r="60">
      <c r="A60" s="335">
        <f>IF(Records!A60="","",Records!A60)</f>
        <v/>
      </c>
      <c r="B60" s="335">
        <f>IF(Records!B60="","",Records!B60)</f>
        <v/>
      </c>
      <c r="C60" s="336">
        <f>IF(Records!H60="","",Records!H60)</f>
        <v/>
      </c>
      <c r="D60" s="336">
        <f>IF(Records!F60="","",Records!F60)</f>
        <v/>
      </c>
      <c r="E60" s="337">
        <f>IF(AND(COUNTIFS(Participants!$A$3:$A$26,Records!A60,Participants!$V$3:$V$26,"是")=1,Records!AB60="是",Records!AC60="是",Records!AD60="是",COUNT(Records!K60,Records!L60,Records!M60,Records!O60,Records!P60,Records!Q60,Records!R60,Records!S60,Records!T60,Records!U60,Records!V60,Records!W60,Records!X60)=13),"是","否")</f>
        <v/>
      </c>
      <c r="F60" s="336">
        <f>IF(Records!K60="","",Records!K60)</f>
        <v/>
      </c>
      <c r="G60" s="336">
        <f>IF(Records!R60="","",Records!R60)</f>
        <v/>
      </c>
      <c r="H60" s="336">
        <f>IF(Records!L60="","",Records!L60)</f>
        <v/>
      </c>
      <c r="I60" s="336">
        <f>IF(Records!M60="","",Records!M60)</f>
        <v/>
      </c>
      <c r="J60" s="336">
        <f>IF(Records!Q60="","",Records!Q60)</f>
        <v/>
      </c>
      <c r="K60" s="336">
        <f>IF(Records!W60="","",Records!W60)</f>
        <v/>
      </c>
      <c r="L60" s="336">
        <f>IF(Records!X60="","",Records!X60)</f>
        <v/>
      </c>
      <c r="M60" s="336">
        <f>IF(COUNT(Records!S60,Records!T60,Records!U60)=3,AVERAGE(Records!S60,Records!T60,Records!U60),"")</f>
        <v/>
      </c>
      <c r="N60" s="336">
        <f>IF(COUNT(Records!V60,Records!O60,Records!P60)=3,AVERAGE(Records!V60,Records!O60,Records!P60),"")</f>
        <v/>
      </c>
      <c r="O60" s="336">
        <f>IF(Records!N60="","",Records!N60)</f>
        <v/>
      </c>
      <c r="P60" s="337">
        <f>IF(Records!AA60="","",IF(Records!AA60&gt;150,"是","否"))</f>
        <v/>
      </c>
      <c r="Q60" s="337">
        <f>IF(COUNT(Records!K60,Records!L60,Records!M60,Records!O60,Records!P60,Records!Q60,Records!R60,Records!S60,Records!T60,Records!U60,Records!V60,Records!W60,Records!X60)&lt;13,"",IF(OR(AND(Records!K60=Records!L60,Records!L60=Records!M60,Records!M60=Records!O60,Records!O60=Records!P60),AND(Records!L60=Records!M60,Records!M60=Records!O60,Records!O60=Records!P60,Records!P60=Records!Q60),AND(Records!M60=Records!O60,Records!O60=Records!P60,Records!P60=Records!Q60,Records!Q60=Records!R60),AND(Records!O60=Records!P60,Records!P60=Records!Q60,Records!Q60=Records!R60,Records!R60=Records!S60),AND(Records!P60=Records!Q60,Records!Q60=Records!R60,Records!R60=Records!S60,Records!S60=Records!T60),AND(Records!Q60=Records!R60,Records!R60=Records!S60,Records!S60=Records!T60,Records!T60=Records!U60),AND(Records!R60=Records!S60,Records!S60=Records!T60,Records!T60=Records!U60,Records!U60=Records!V60),AND(Records!S60=Records!T60,Records!T60=Records!U60,Records!U60=Records!V60,Records!V60=Records!W60),AND(Records!T60=Records!U60,Records!U60=Records!V60,Records!V60=Records!W60,Records!W60=Records!X60)),"是","否"))</f>
        <v/>
      </c>
      <c r="R60" s="336">
        <f>IF(Records!AF60="","",Records!AF60)</f>
        <v/>
      </c>
      <c r="S60" s="336">
        <f>IF(Records!AG60="","",Records!AG60)</f>
        <v/>
      </c>
      <c r="T60" s="336">
        <f>IF(Records!AH60="","",Records!AH60)</f>
        <v/>
      </c>
      <c r="U60" s="336">
        <f>IF(Records!AI60="","",Records!AI60)</f>
        <v/>
      </c>
      <c r="V60" s="336">
        <f>IF(Records!AJ60="","",Records!AJ60)</f>
        <v/>
      </c>
      <c r="W60" s="336">
        <f>IF(Records!AK60="","",Records!AK60)</f>
        <v/>
      </c>
      <c r="X60" s="336">
        <f>IF(Records!AL60="","",Records!AL60)</f>
        <v/>
      </c>
      <c r="Y60" s="336">
        <f>IF(Records!AM60="","",Records!AM60)</f>
        <v/>
      </c>
      <c r="Z60" s="336">
        <f>IF(Records!AN60="","",Records!AN60)</f>
        <v/>
      </c>
    </row>
    <row r="61">
      <c r="A61" s="335">
        <f>IF(Records!A61="","",Records!A61)</f>
        <v/>
      </c>
      <c r="B61" s="335">
        <f>IF(Records!B61="","",Records!B61)</f>
        <v/>
      </c>
      <c r="C61" s="336">
        <f>IF(Records!H61="","",Records!H61)</f>
        <v/>
      </c>
      <c r="D61" s="336">
        <f>IF(Records!F61="","",Records!F61)</f>
        <v/>
      </c>
      <c r="E61" s="337">
        <f>IF(AND(COUNTIFS(Participants!$A$3:$A$26,Records!A61,Participants!$V$3:$V$26,"是")=1,Records!AB61="是",Records!AC61="是",Records!AD61="是",COUNT(Records!K61,Records!L61,Records!M61,Records!O61,Records!P61,Records!Q61,Records!R61,Records!S61,Records!T61,Records!U61,Records!V61,Records!W61,Records!X61)=13),"是","否")</f>
        <v/>
      </c>
      <c r="F61" s="336">
        <f>IF(Records!K61="","",Records!K61)</f>
        <v/>
      </c>
      <c r="G61" s="336">
        <f>IF(Records!R61="","",Records!R61)</f>
        <v/>
      </c>
      <c r="H61" s="336">
        <f>IF(Records!L61="","",Records!L61)</f>
        <v/>
      </c>
      <c r="I61" s="336">
        <f>IF(Records!M61="","",Records!M61)</f>
        <v/>
      </c>
      <c r="J61" s="336">
        <f>IF(Records!Q61="","",Records!Q61)</f>
        <v/>
      </c>
      <c r="K61" s="336">
        <f>IF(Records!W61="","",Records!W61)</f>
        <v/>
      </c>
      <c r="L61" s="336">
        <f>IF(Records!X61="","",Records!X61)</f>
        <v/>
      </c>
      <c r="M61" s="336">
        <f>IF(COUNT(Records!S61,Records!T61,Records!U61)=3,AVERAGE(Records!S61,Records!T61,Records!U61),"")</f>
        <v/>
      </c>
      <c r="N61" s="336">
        <f>IF(COUNT(Records!V61,Records!O61,Records!P61)=3,AVERAGE(Records!V61,Records!O61,Records!P61),"")</f>
        <v/>
      </c>
      <c r="O61" s="336">
        <f>IF(Records!N61="","",Records!N61)</f>
        <v/>
      </c>
      <c r="P61" s="337">
        <f>IF(Records!AA61="","",IF(Records!AA61&gt;150,"是","否"))</f>
        <v/>
      </c>
      <c r="Q61" s="337">
        <f>IF(COUNT(Records!K61,Records!L61,Records!M61,Records!O61,Records!P61,Records!Q61,Records!R61,Records!S61,Records!T61,Records!U61,Records!V61,Records!W61,Records!X61)&lt;13,"",IF(OR(AND(Records!K61=Records!L61,Records!L61=Records!M61,Records!M61=Records!O61,Records!O61=Records!P61),AND(Records!L61=Records!M61,Records!M61=Records!O61,Records!O61=Records!P61,Records!P61=Records!Q61),AND(Records!M61=Records!O61,Records!O61=Records!P61,Records!P61=Records!Q61,Records!Q61=Records!R61),AND(Records!O61=Records!P61,Records!P61=Records!Q61,Records!Q61=Records!R61,Records!R61=Records!S61),AND(Records!P61=Records!Q61,Records!Q61=Records!R61,Records!R61=Records!S61,Records!S61=Records!T61),AND(Records!Q61=Records!R61,Records!R61=Records!S61,Records!S61=Records!T61,Records!T61=Records!U61),AND(Records!R61=Records!S61,Records!S61=Records!T61,Records!T61=Records!U61,Records!U61=Records!V61),AND(Records!S61=Records!T61,Records!T61=Records!U61,Records!U61=Records!V61,Records!V61=Records!W61),AND(Records!T61=Records!U61,Records!U61=Records!V61,Records!V61=Records!W61,Records!W61=Records!X61)),"是","否"))</f>
        <v/>
      </c>
      <c r="R61" s="336">
        <f>IF(Records!AF61="","",Records!AF61)</f>
        <v/>
      </c>
      <c r="S61" s="336">
        <f>IF(Records!AG61="","",Records!AG61)</f>
        <v/>
      </c>
      <c r="T61" s="336">
        <f>IF(Records!AH61="","",Records!AH61)</f>
        <v/>
      </c>
      <c r="U61" s="336">
        <f>IF(Records!AI61="","",Records!AI61)</f>
        <v/>
      </c>
      <c r="V61" s="336">
        <f>IF(Records!AJ61="","",Records!AJ61)</f>
        <v/>
      </c>
      <c r="W61" s="336">
        <f>IF(Records!AK61="","",Records!AK61)</f>
        <v/>
      </c>
      <c r="X61" s="336">
        <f>IF(Records!AL61="","",Records!AL61)</f>
        <v/>
      </c>
      <c r="Y61" s="336">
        <f>IF(Records!AM61="","",Records!AM61)</f>
        <v/>
      </c>
      <c r="Z61" s="336">
        <f>IF(Records!AN61="","",Records!AN61)</f>
        <v/>
      </c>
    </row>
    <row r="62">
      <c r="A62" s="335">
        <f>IF(Records!A62="","",Records!A62)</f>
        <v/>
      </c>
      <c r="B62" s="335">
        <f>IF(Records!B62="","",Records!B62)</f>
        <v/>
      </c>
      <c r="C62" s="336">
        <f>IF(Records!H62="","",Records!H62)</f>
        <v/>
      </c>
      <c r="D62" s="336">
        <f>IF(Records!F62="","",Records!F62)</f>
        <v/>
      </c>
      <c r="E62" s="337">
        <f>IF(AND(COUNTIFS(Participants!$A$3:$A$26,Records!A62,Participants!$V$3:$V$26,"是")=1,Records!AB62="是",Records!AC62="是",Records!AD62="是",COUNT(Records!K62,Records!L62,Records!M62,Records!O62,Records!P62,Records!Q62,Records!R62,Records!S62,Records!T62,Records!U62,Records!V62,Records!W62,Records!X62)=13),"是","否")</f>
        <v/>
      </c>
      <c r="F62" s="336">
        <f>IF(Records!K62="","",Records!K62)</f>
        <v/>
      </c>
      <c r="G62" s="336">
        <f>IF(Records!R62="","",Records!R62)</f>
        <v/>
      </c>
      <c r="H62" s="336">
        <f>IF(Records!L62="","",Records!L62)</f>
        <v/>
      </c>
      <c r="I62" s="336">
        <f>IF(Records!M62="","",Records!M62)</f>
        <v/>
      </c>
      <c r="J62" s="336">
        <f>IF(Records!Q62="","",Records!Q62)</f>
        <v/>
      </c>
      <c r="K62" s="336">
        <f>IF(Records!W62="","",Records!W62)</f>
        <v/>
      </c>
      <c r="L62" s="336">
        <f>IF(Records!X62="","",Records!X62)</f>
        <v/>
      </c>
      <c r="M62" s="336">
        <f>IF(COUNT(Records!S62,Records!T62,Records!U62)=3,AVERAGE(Records!S62,Records!T62,Records!U62),"")</f>
        <v/>
      </c>
      <c r="N62" s="336">
        <f>IF(COUNT(Records!V62,Records!O62,Records!P62)=3,AVERAGE(Records!V62,Records!O62,Records!P62),"")</f>
        <v/>
      </c>
      <c r="O62" s="336">
        <f>IF(Records!N62="","",Records!N62)</f>
        <v/>
      </c>
      <c r="P62" s="337">
        <f>IF(Records!AA62="","",IF(Records!AA62&gt;150,"是","否"))</f>
        <v/>
      </c>
      <c r="Q62" s="337">
        <f>IF(COUNT(Records!K62,Records!L62,Records!M62,Records!O62,Records!P62,Records!Q62,Records!R62,Records!S62,Records!T62,Records!U62,Records!V62,Records!W62,Records!X62)&lt;13,"",IF(OR(AND(Records!K62=Records!L62,Records!L62=Records!M62,Records!M62=Records!O62,Records!O62=Records!P62),AND(Records!L62=Records!M62,Records!M62=Records!O62,Records!O62=Records!P62,Records!P62=Records!Q62),AND(Records!M62=Records!O62,Records!O62=Records!P62,Records!P62=Records!Q62,Records!Q62=Records!R62),AND(Records!O62=Records!P62,Records!P62=Records!Q62,Records!Q62=Records!R62,Records!R62=Records!S62),AND(Records!P62=Records!Q62,Records!Q62=Records!R62,Records!R62=Records!S62,Records!S62=Records!T62),AND(Records!Q62=Records!R62,Records!R62=Records!S62,Records!S62=Records!T62,Records!T62=Records!U62),AND(Records!R62=Records!S62,Records!S62=Records!T62,Records!T62=Records!U62,Records!U62=Records!V62),AND(Records!S62=Records!T62,Records!T62=Records!U62,Records!U62=Records!V62,Records!V62=Records!W62),AND(Records!T62=Records!U62,Records!U62=Records!V62,Records!V62=Records!W62,Records!W62=Records!X62)),"是","否"))</f>
        <v/>
      </c>
      <c r="R62" s="336">
        <f>IF(Records!AF62="","",Records!AF62)</f>
        <v/>
      </c>
      <c r="S62" s="336">
        <f>IF(Records!AG62="","",Records!AG62)</f>
        <v/>
      </c>
      <c r="T62" s="336">
        <f>IF(Records!AH62="","",Records!AH62)</f>
        <v/>
      </c>
      <c r="U62" s="336">
        <f>IF(Records!AI62="","",Records!AI62)</f>
        <v/>
      </c>
      <c r="V62" s="336">
        <f>IF(Records!AJ62="","",Records!AJ62)</f>
        <v/>
      </c>
      <c r="W62" s="336">
        <f>IF(Records!AK62="","",Records!AK62)</f>
        <v/>
      </c>
      <c r="X62" s="336">
        <f>IF(Records!AL62="","",Records!AL62)</f>
        <v/>
      </c>
      <c r="Y62" s="336">
        <f>IF(Records!AM62="","",Records!AM62)</f>
        <v/>
      </c>
      <c r="Z62" s="336">
        <f>IF(Records!AN62="","",Records!AN62)</f>
        <v/>
      </c>
    </row>
    <row r="63">
      <c r="A63" s="335">
        <f>IF(Records!A63="","",Records!A63)</f>
        <v/>
      </c>
      <c r="B63" s="335">
        <f>IF(Records!B63="","",Records!B63)</f>
        <v/>
      </c>
      <c r="C63" s="336">
        <f>IF(Records!H63="","",Records!H63)</f>
        <v/>
      </c>
      <c r="D63" s="336">
        <f>IF(Records!F63="","",Records!F63)</f>
        <v/>
      </c>
      <c r="E63" s="337">
        <f>IF(AND(COUNTIFS(Participants!$A$3:$A$26,Records!A63,Participants!$V$3:$V$26,"是")=1,Records!AB63="是",Records!AC63="是",Records!AD63="是",COUNT(Records!K63,Records!L63,Records!M63,Records!O63,Records!P63,Records!Q63,Records!R63,Records!S63,Records!T63,Records!U63,Records!V63,Records!W63,Records!X63)=13),"是","否")</f>
        <v/>
      </c>
      <c r="F63" s="336">
        <f>IF(Records!K63="","",Records!K63)</f>
        <v/>
      </c>
      <c r="G63" s="336">
        <f>IF(Records!R63="","",Records!R63)</f>
        <v/>
      </c>
      <c r="H63" s="336">
        <f>IF(Records!L63="","",Records!L63)</f>
        <v/>
      </c>
      <c r="I63" s="336">
        <f>IF(Records!M63="","",Records!M63)</f>
        <v/>
      </c>
      <c r="J63" s="336">
        <f>IF(Records!Q63="","",Records!Q63)</f>
        <v/>
      </c>
      <c r="K63" s="336">
        <f>IF(Records!W63="","",Records!W63)</f>
        <v/>
      </c>
      <c r="L63" s="336">
        <f>IF(Records!X63="","",Records!X63)</f>
        <v/>
      </c>
      <c r="M63" s="336">
        <f>IF(COUNT(Records!S63,Records!T63,Records!U63)=3,AVERAGE(Records!S63,Records!T63,Records!U63),"")</f>
        <v/>
      </c>
      <c r="N63" s="336">
        <f>IF(COUNT(Records!V63,Records!O63,Records!P63)=3,AVERAGE(Records!V63,Records!O63,Records!P63),"")</f>
        <v/>
      </c>
      <c r="O63" s="336">
        <f>IF(Records!N63="","",Records!N63)</f>
        <v/>
      </c>
      <c r="P63" s="337">
        <f>IF(Records!AA63="","",IF(Records!AA63&gt;150,"是","否"))</f>
        <v/>
      </c>
      <c r="Q63" s="337">
        <f>IF(COUNT(Records!K63,Records!L63,Records!M63,Records!O63,Records!P63,Records!Q63,Records!R63,Records!S63,Records!T63,Records!U63,Records!V63,Records!W63,Records!X63)&lt;13,"",IF(OR(AND(Records!K63=Records!L63,Records!L63=Records!M63,Records!M63=Records!O63,Records!O63=Records!P63),AND(Records!L63=Records!M63,Records!M63=Records!O63,Records!O63=Records!P63,Records!P63=Records!Q63),AND(Records!M63=Records!O63,Records!O63=Records!P63,Records!P63=Records!Q63,Records!Q63=Records!R63),AND(Records!O63=Records!P63,Records!P63=Records!Q63,Records!Q63=Records!R63,Records!R63=Records!S63),AND(Records!P63=Records!Q63,Records!Q63=Records!R63,Records!R63=Records!S63,Records!S63=Records!T63),AND(Records!Q63=Records!R63,Records!R63=Records!S63,Records!S63=Records!T63,Records!T63=Records!U63),AND(Records!R63=Records!S63,Records!S63=Records!T63,Records!T63=Records!U63,Records!U63=Records!V63),AND(Records!S63=Records!T63,Records!T63=Records!U63,Records!U63=Records!V63,Records!V63=Records!W63),AND(Records!T63=Records!U63,Records!U63=Records!V63,Records!V63=Records!W63,Records!W63=Records!X63)),"是","否"))</f>
        <v/>
      </c>
      <c r="R63" s="336">
        <f>IF(Records!AF63="","",Records!AF63)</f>
        <v/>
      </c>
      <c r="S63" s="336">
        <f>IF(Records!AG63="","",Records!AG63)</f>
        <v/>
      </c>
      <c r="T63" s="336">
        <f>IF(Records!AH63="","",Records!AH63)</f>
        <v/>
      </c>
      <c r="U63" s="336">
        <f>IF(Records!AI63="","",Records!AI63)</f>
        <v/>
      </c>
      <c r="V63" s="336">
        <f>IF(Records!AJ63="","",Records!AJ63)</f>
        <v/>
      </c>
      <c r="W63" s="336">
        <f>IF(Records!AK63="","",Records!AK63)</f>
        <v/>
      </c>
      <c r="X63" s="336">
        <f>IF(Records!AL63="","",Records!AL63)</f>
        <v/>
      </c>
      <c r="Y63" s="336">
        <f>IF(Records!AM63="","",Records!AM63)</f>
        <v/>
      </c>
      <c r="Z63" s="336">
        <f>IF(Records!AN63="","",Records!AN63)</f>
        <v/>
      </c>
    </row>
    <row r="64">
      <c r="A64" s="335">
        <f>IF(Records!A64="","",Records!A64)</f>
        <v/>
      </c>
      <c r="B64" s="335">
        <f>IF(Records!B64="","",Records!B64)</f>
        <v/>
      </c>
      <c r="C64" s="336">
        <f>IF(Records!H64="","",Records!H64)</f>
        <v/>
      </c>
      <c r="D64" s="336">
        <f>IF(Records!F64="","",Records!F64)</f>
        <v/>
      </c>
      <c r="E64" s="337">
        <f>IF(AND(COUNTIFS(Participants!$A$3:$A$26,Records!A64,Participants!$V$3:$V$26,"是")=1,Records!AB64="是",Records!AC64="是",Records!AD64="是",COUNT(Records!K64,Records!L64,Records!M64,Records!O64,Records!P64,Records!Q64,Records!R64,Records!S64,Records!T64,Records!U64,Records!V64,Records!W64,Records!X64)=13),"是","否")</f>
        <v/>
      </c>
      <c r="F64" s="336">
        <f>IF(Records!K64="","",Records!K64)</f>
        <v/>
      </c>
      <c r="G64" s="336">
        <f>IF(Records!R64="","",Records!R64)</f>
        <v/>
      </c>
      <c r="H64" s="336">
        <f>IF(Records!L64="","",Records!L64)</f>
        <v/>
      </c>
      <c r="I64" s="336">
        <f>IF(Records!M64="","",Records!M64)</f>
        <v/>
      </c>
      <c r="J64" s="336">
        <f>IF(Records!Q64="","",Records!Q64)</f>
        <v/>
      </c>
      <c r="K64" s="336">
        <f>IF(Records!W64="","",Records!W64)</f>
        <v/>
      </c>
      <c r="L64" s="336">
        <f>IF(Records!X64="","",Records!X64)</f>
        <v/>
      </c>
      <c r="M64" s="336">
        <f>IF(COUNT(Records!S64,Records!T64,Records!U64)=3,AVERAGE(Records!S64,Records!T64,Records!U64),"")</f>
        <v/>
      </c>
      <c r="N64" s="336">
        <f>IF(COUNT(Records!V64,Records!O64,Records!P64)=3,AVERAGE(Records!V64,Records!O64,Records!P64),"")</f>
        <v/>
      </c>
      <c r="O64" s="336">
        <f>IF(Records!N64="","",Records!N64)</f>
        <v/>
      </c>
      <c r="P64" s="337">
        <f>IF(Records!AA64="","",IF(Records!AA64&gt;150,"是","否"))</f>
        <v/>
      </c>
      <c r="Q64" s="337">
        <f>IF(COUNT(Records!K64,Records!L64,Records!M64,Records!O64,Records!P64,Records!Q64,Records!R64,Records!S64,Records!T64,Records!U64,Records!V64,Records!W64,Records!X64)&lt;13,"",IF(OR(AND(Records!K64=Records!L64,Records!L64=Records!M64,Records!M64=Records!O64,Records!O64=Records!P64),AND(Records!L64=Records!M64,Records!M64=Records!O64,Records!O64=Records!P64,Records!P64=Records!Q64),AND(Records!M64=Records!O64,Records!O64=Records!P64,Records!P64=Records!Q64,Records!Q64=Records!R64),AND(Records!O64=Records!P64,Records!P64=Records!Q64,Records!Q64=Records!R64,Records!R64=Records!S64),AND(Records!P64=Records!Q64,Records!Q64=Records!R64,Records!R64=Records!S64,Records!S64=Records!T64),AND(Records!Q64=Records!R64,Records!R64=Records!S64,Records!S64=Records!T64,Records!T64=Records!U64),AND(Records!R64=Records!S64,Records!S64=Records!T64,Records!T64=Records!U64,Records!U64=Records!V64),AND(Records!S64=Records!T64,Records!T64=Records!U64,Records!U64=Records!V64,Records!V64=Records!W64),AND(Records!T64=Records!U64,Records!U64=Records!V64,Records!V64=Records!W64,Records!W64=Records!X64)),"是","否"))</f>
        <v/>
      </c>
      <c r="R64" s="336">
        <f>IF(Records!AF64="","",Records!AF64)</f>
        <v/>
      </c>
      <c r="S64" s="336">
        <f>IF(Records!AG64="","",Records!AG64)</f>
        <v/>
      </c>
      <c r="T64" s="336">
        <f>IF(Records!AH64="","",Records!AH64)</f>
        <v/>
      </c>
      <c r="U64" s="336">
        <f>IF(Records!AI64="","",Records!AI64)</f>
        <v/>
      </c>
      <c r="V64" s="336">
        <f>IF(Records!AJ64="","",Records!AJ64)</f>
        <v/>
      </c>
      <c r="W64" s="336">
        <f>IF(Records!AK64="","",Records!AK64)</f>
        <v/>
      </c>
      <c r="X64" s="336">
        <f>IF(Records!AL64="","",Records!AL64)</f>
        <v/>
      </c>
      <c r="Y64" s="336">
        <f>IF(Records!AM64="","",Records!AM64)</f>
        <v/>
      </c>
      <c r="Z64" s="336">
        <f>IF(Records!AN64="","",Records!AN64)</f>
        <v/>
      </c>
    </row>
    <row r="65">
      <c r="A65" s="335">
        <f>IF(Records!A65="","",Records!A65)</f>
        <v/>
      </c>
      <c r="B65" s="335">
        <f>IF(Records!B65="","",Records!B65)</f>
        <v/>
      </c>
      <c r="C65" s="336">
        <f>IF(Records!H65="","",Records!H65)</f>
        <v/>
      </c>
      <c r="D65" s="336">
        <f>IF(Records!F65="","",Records!F65)</f>
        <v/>
      </c>
      <c r="E65" s="337">
        <f>IF(AND(COUNTIFS(Participants!$A$3:$A$26,Records!A65,Participants!$V$3:$V$26,"是")=1,Records!AB65="是",Records!AC65="是",Records!AD65="是",COUNT(Records!K65,Records!L65,Records!M65,Records!O65,Records!P65,Records!Q65,Records!R65,Records!S65,Records!T65,Records!U65,Records!V65,Records!W65,Records!X65)=13),"是","否")</f>
        <v/>
      </c>
      <c r="F65" s="336">
        <f>IF(Records!K65="","",Records!K65)</f>
        <v/>
      </c>
      <c r="G65" s="336">
        <f>IF(Records!R65="","",Records!R65)</f>
        <v/>
      </c>
      <c r="H65" s="336">
        <f>IF(Records!L65="","",Records!L65)</f>
        <v/>
      </c>
      <c r="I65" s="336">
        <f>IF(Records!M65="","",Records!M65)</f>
        <v/>
      </c>
      <c r="J65" s="336">
        <f>IF(Records!Q65="","",Records!Q65)</f>
        <v/>
      </c>
      <c r="K65" s="336">
        <f>IF(Records!W65="","",Records!W65)</f>
        <v/>
      </c>
      <c r="L65" s="336">
        <f>IF(Records!X65="","",Records!X65)</f>
        <v/>
      </c>
      <c r="M65" s="336">
        <f>IF(COUNT(Records!S65,Records!T65,Records!U65)=3,AVERAGE(Records!S65,Records!T65,Records!U65),"")</f>
        <v/>
      </c>
      <c r="N65" s="336">
        <f>IF(COUNT(Records!V65,Records!O65,Records!P65)=3,AVERAGE(Records!V65,Records!O65,Records!P65),"")</f>
        <v/>
      </c>
      <c r="O65" s="336">
        <f>IF(Records!N65="","",Records!N65)</f>
        <v/>
      </c>
      <c r="P65" s="337">
        <f>IF(Records!AA65="","",IF(Records!AA65&gt;150,"是","否"))</f>
        <v/>
      </c>
      <c r="Q65" s="337">
        <f>IF(COUNT(Records!K65,Records!L65,Records!M65,Records!O65,Records!P65,Records!Q65,Records!R65,Records!S65,Records!T65,Records!U65,Records!V65,Records!W65,Records!X65)&lt;13,"",IF(OR(AND(Records!K65=Records!L65,Records!L65=Records!M65,Records!M65=Records!O65,Records!O65=Records!P65),AND(Records!L65=Records!M65,Records!M65=Records!O65,Records!O65=Records!P65,Records!P65=Records!Q65),AND(Records!M65=Records!O65,Records!O65=Records!P65,Records!P65=Records!Q65,Records!Q65=Records!R65),AND(Records!O65=Records!P65,Records!P65=Records!Q65,Records!Q65=Records!R65,Records!R65=Records!S65),AND(Records!P65=Records!Q65,Records!Q65=Records!R65,Records!R65=Records!S65,Records!S65=Records!T65),AND(Records!Q65=Records!R65,Records!R65=Records!S65,Records!S65=Records!T65,Records!T65=Records!U65),AND(Records!R65=Records!S65,Records!S65=Records!T65,Records!T65=Records!U65,Records!U65=Records!V65),AND(Records!S65=Records!T65,Records!T65=Records!U65,Records!U65=Records!V65,Records!V65=Records!W65),AND(Records!T65=Records!U65,Records!U65=Records!V65,Records!V65=Records!W65,Records!W65=Records!X65)),"是","否"))</f>
        <v/>
      </c>
      <c r="R65" s="336">
        <f>IF(Records!AF65="","",Records!AF65)</f>
        <v/>
      </c>
      <c r="S65" s="336">
        <f>IF(Records!AG65="","",Records!AG65)</f>
        <v/>
      </c>
      <c r="T65" s="336">
        <f>IF(Records!AH65="","",Records!AH65)</f>
        <v/>
      </c>
      <c r="U65" s="336">
        <f>IF(Records!AI65="","",Records!AI65)</f>
        <v/>
      </c>
      <c r="V65" s="336">
        <f>IF(Records!AJ65="","",Records!AJ65)</f>
        <v/>
      </c>
      <c r="W65" s="336">
        <f>IF(Records!AK65="","",Records!AK65)</f>
        <v/>
      </c>
      <c r="X65" s="336">
        <f>IF(Records!AL65="","",Records!AL65)</f>
        <v/>
      </c>
      <c r="Y65" s="336">
        <f>IF(Records!AM65="","",Records!AM65)</f>
        <v/>
      </c>
      <c r="Z65" s="336">
        <f>IF(Records!AN65="","",Records!AN65)</f>
        <v/>
      </c>
    </row>
    <row r="66">
      <c r="A66" s="335">
        <f>IF(Records!A66="","",Records!A66)</f>
        <v/>
      </c>
      <c r="B66" s="335">
        <f>IF(Records!B66="","",Records!B66)</f>
        <v/>
      </c>
      <c r="C66" s="336">
        <f>IF(Records!H66="","",Records!H66)</f>
        <v/>
      </c>
      <c r="D66" s="336">
        <f>IF(Records!F66="","",Records!F66)</f>
        <v/>
      </c>
      <c r="E66" s="337">
        <f>IF(AND(COUNTIFS(Participants!$A$3:$A$26,Records!A66,Participants!$V$3:$V$26,"是")=1,Records!AB66="是",Records!AC66="是",Records!AD66="是",COUNT(Records!K66,Records!L66,Records!M66,Records!O66,Records!P66,Records!Q66,Records!R66,Records!S66,Records!T66,Records!U66,Records!V66,Records!W66,Records!X66)=13),"是","否")</f>
        <v/>
      </c>
      <c r="F66" s="336">
        <f>IF(Records!K66="","",Records!K66)</f>
        <v/>
      </c>
      <c r="G66" s="336">
        <f>IF(Records!R66="","",Records!R66)</f>
        <v/>
      </c>
      <c r="H66" s="336">
        <f>IF(Records!L66="","",Records!L66)</f>
        <v/>
      </c>
      <c r="I66" s="336">
        <f>IF(Records!M66="","",Records!M66)</f>
        <v/>
      </c>
      <c r="J66" s="336">
        <f>IF(Records!Q66="","",Records!Q66)</f>
        <v/>
      </c>
      <c r="K66" s="336">
        <f>IF(Records!W66="","",Records!W66)</f>
        <v/>
      </c>
      <c r="L66" s="336">
        <f>IF(Records!X66="","",Records!X66)</f>
        <v/>
      </c>
      <c r="M66" s="336">
        <f>IF(COUNT(Records!S66,Records!T66,Records!U66)=3,AVERAGE(Records!S66,Records!T66,Records!U66),"")</f>
        <v/>
      </c>
      <c r="N66" s="336">
        <f>IF(COUNT(Records!V66,Records!O66,Records!P66)=3,AVERAGE(Records!V66,Records!O66,Records!P66),"")</f>
        <v/>
      </c>
      <c r="O66" s="336">
        <f>IF(Records!N66="","",Records!N66)</f>
        <v/>
      </c>
      <c r="P66" s="337">
        <f>IF(Records!AA66="","",IF(Records!AA66&gt;150,"是","否"))</f>
        <v/>
      </c>
      <c r="Q66" s="337">
        <f>IF(COUNT(Records!K66,Records!L66,Records!M66,Records!O66,Records!P66,Records!Q66,Records!R66,Records!S66,Records!T66,Records!U66,Records!V66,Records!W66,Records!X66)&lt;13,"",IF(OR(AND(Records!K66=Records!L66,Records!L66=Records!M66,Records!M66=Records!O66,Records!O66=Records!P66),AND(Records!L66=Records!M66,Records!M66=Records!O66,Records!O66=Records!P66,Records!P66=Records!Q66),AND(Records!M66=Records!O66,Records!O66=Records!P66,Records!P66=Records!Q66,Records!Q66=Records!R66),AND(Records!O66=Records!P66,Records!P66=Records!Q66,Records!Q66=Records!R66,Records!R66=Records!S66),AND(Records!P66=Records!Q66,Records!Q66=Records!R66,Records!R66=Records!S66,Records!S66=Records!T66),AND(Records!Q66=Records!R66,Records!R66=Records!S66,Records!S66=Records!T66,Records!T66=Records!U66),AND(Records!R66=Records!S66,Records!S66=Records!T66,Records!T66=Records!U66,Records!U66=Records!V66),AND(Records!S66=Records!T66,Records!T66=Records!U66,Records!U66=Records!V66,Records!V66=Records!W66),AND(Records!T66=Records!U66,Records!U66=Records!V66,Records!V66=Records!W66,Records!W66=Records!X66)),"是","否"))</f>
        <v/>
      </c>
      <c r="R66" s="336">
        <f>IF(Records!AF66="","",Records!AF66)</f>
        <v/>
      </c>
      <c r="S66" s="336">
        <f>IF(Records!AG66="","",Records!AG66)</f>
        <v/>
      </c>
      <c r="T66" s="336">
        <f>IF(Records!AH66="","",Records!AH66)</f>
        <v/>
      </c>
      <c r="U66" s="336">
        <f>IF(Records!AI66="","",Records!AI66)</f>
        <v/>
      </c>
      <c r="V66" s="336">
        <f>IF(Records!AJ66="","",Records!AJ66)</f>
        <v/>
      </c>
      <c r="W66" s="336">
        <f>IF(Records!AK66="","",Records!AK66)</f>
        <v/>
      </c>
      <c r="X66" s="336">
        <f>IF(Records!AL66="","",Records!AL66)</f>
        <v/>
      </c>
      <c r="Y66" s="336">
        <f>IF(Records!AM66="","",Records!AM66)</f>
        <v/>
      </c>
      <c r="Z66" s="336">
        <f>IF(Records!AN66="","",Records!AN66)</f>
        <v/>
      </c>
    </row>
    <row r="67">
      <c r="A67" s="335">
        <f>IF(Records!A67="","",Records!A67)</f>
        <v/>
      </c>
      <c r="B67" s="335">
        <f>IF(Records!B67="","",Records!B67)</f>
        <v/>
      </c>
      <c r="C67" s="336">
        <f>IF(Records!H67="","",Records!H67)</f>
        <v/>
      </c>
      <c r="D67" s="336">
        <f>IF(Records!F67="","",Records!F67)</f>
        <v/>
      </c>
      <c r="E67" s="337">
        <f>IF(AND(COUNTIFS(Participants!$A$3:$A$26,Records!A67,Participants!$V$3:$V$26,"是")=1,Records!AB67="是",Records!AC67="是",Records!AD67="是",COUNT(Records!K67,Records!L67,Records!M67,Records!O67,Records!P67,Records!Q67,Records!R67,Records!S67,Records!T67,Records!U67,Records!V67,Records!W67,Records!X67)=13),"是","否")</f>
        <v/>
      </c>
      <c r="F67" s="336">
        <f>IF(Records!K67="","",Records!K67)</f>
        <v/>
      </c>
      <c r="G67" s="336">
        <f>IF(Records!R67="","",Records!R67)</f>
        <v/>
      </c>
      <c r="H67" s="336">
        <f>IF(Records!L67="","",Records!L67)</f>
        <v/>
      </c>
      <c r="I67" s="336">
        <f>IF(Records!M67="","",Records!M67)</f>
        <v/>
      </c>
      <c r="J67" s="336">
        <f>IF(Records!Q67="","",Records!Q67)</f>
        <v/>
      </c>
      <c r="K67" s="336">
        <f>IF(Records!W67="","",Records!W67)</f>
        <v/>
      </c>
      <c r="L67" s="336">
        <f>IF(Records!X67="","",Records!X67)</f>
        <v/>
      </c>
      <c r="M67" s="336">
        <f>IF(COUNT(Records!S67,Records!T67,Records!U67)=3,AVERAGE(Records!S67,Records!T67,Records!U67),"")</f>
        <v/>
      </c>
      <c r="N67" s="336">
        <f>IF(COUNT(Records!V67,Records!O67,Records!P67)=3,AVERAGE(Records!V67,Records!O67,Records!P67),"")</f>
        <v/>
      </c>
      <c r="O67" s="336">
        <f>IF(Records!N67="","",Records!N67)</f>
        <v/>
      </c>
      <c r="P67" s="337">
        <f>IF(Records!AA67="","",IF(Records!AA67&gt;150,"是","否"))</f>
        <v/>
      </c>
      <c r="Q67" s="337">
        <f>IF(COUNT(Records!K67,Records!L67,Records!M67,Records!O67,Records!P67,Records!Q67,Records!R67,Records!S67,Records!T67,Records!U67,Records!V67,Records!W67,Records!X67)&lt;13,"",IF(OR(AND(Records!K67=Records!L67,Records!L67=Records!M67,Records!M67=Records!O67,Records!O67=Records!P67),AND(Records!L67=Records!M67,Records!M67=Records!O67,Records!O67=Records!P67,Records!P67=Records!Q67),AND(Records!M67=Records!O67,Records!O67=Records!P67,Records!P67=Records!Q67,Records!Q67=Records!R67),AND(Records!O67=Records!P67,Records!P67=Records!Q67,Records!Q67=Records!R67,Records!R67=Records!S67),AND(Records!P67=Records!Q67,Records!Q67=Records!R67,Records!R67=Records!S67,Records!S67=Records!T67),AND(Records!Q67=Records!R67,Records!R67=Records!S67,Records!S67=Records!T67,Records!T67=Records!U67),AND(Records!R67=Records!S67,Records!S67=Records!T67,Records!T67=Records!U67,Records!U67=Records!V67),AND(Records!S67=Records!T67,Records!T67=Records!U67,Records!U67=Records!V67,Records!V67=Records!W67),AND(Records!T67=Records!U67,Records!U67=Records!V67,Records!V67=Records!W67,Records!W67=Records!X67)),"是","否"))</f>
        <v/>
      </c>
      <c r="R67" s="336">
        <f>IF(Records!AF67="","",Records!AF67)</f>
        <v/>
      </c>
      <c r="S67" s="336">
        <f>IF(Records!AG67="","",Records!AG67)</f>
        <v/>
      </c>
      <c r="T67" s="336">
        <f>IF(Records!AH67="","",Records!AH67)</f>
        <v/>
      </c>
      <c r="U67" s="336">
        <f>IF(Records!AI67="","",Records!AI67)</f>
        <v/>
      </c>
      <c r="V67" s="336">
        <f>IF(Records!AJ67="","",Records!AJ67)</f>
        <v/>
      </c>
      <c r="W67" s="336">
        <f>IF(Records!AK67="","",Records!AK67)</f>
        <v/>
      </c>
      <c r="X67" s="336">
        <f>IF(Records!AL67="","",Records!AL67)</f>
        <v/>
      </c>
      <c r="Y67" s="336">
        <f>IF(Records!AM67="","",Records!AM67)</f>
        <v/>
      </c>
      <c r="Z67" s="336">
        <f>IF(Records!AN67="","",Records!AN67)</f>
        <v/>
      </c>
    </row>
    <row r="68">
      <c r="A68" s="335">
        <f>IF(Records!A68="","",Records!A68)</f>
        <v/>
      </c>
      <c r="B68" s="335">
        <f>IF(Records!B68="","",Records!B68)</f>
        <v/>
      </c>
      <c r="C68" s="336">
        <f>IF(Records!H68="","",Records!H68)</f>
        <v/>
      </c>
      <c r="D68" s="336">
        <f>IF(Records!F68="","",Records!F68)</f>
        <v/>
      </c>
      <c r="E68" s="337">
        <f>IF(AND(COUNTIFS(Participants!$A$3:$A$26,Records!A68,Participants!$V$3:$V$26,"是")=1,Records!AB68="是",Records!AC68="是",Records!AD68="是",COUNT(Records!K68,Records!L68,Records!M68,Records!O68,Records!P68,Records!Q68,Records!R68,Records!S68,Records!T68,Records!U68,Records!V68,Records!W68,Records!X68)=13),"是","否")</f>
        <v/>
      </c>
      <c r="F68" s="336">
        <f>IF(Records!K68="","",Records!K68)</f>
        <v/>
      </c>
      <c r="G68" s="336">
        <f>IF(Records!R68="","",Records!R68)</f>
        <v/>
      </c>
      <c r="H68" s="336">
        <f>IF(Records!L68="","",Records!L68)</f>
        <v/>
      </c>
      <c r="I68" s="336">
        <f>IF(Records!M68="","",Records!M68)</f>
        <v/>
      </c>
      <c r="J68" s="336">
        <f>IF(Records!Q68="","",Records!Q68)</f>
        <v/>
      </c>
      <c r="K68" s="336">
        <f>IF(Records!W68="","",Records!W68)</f>
        <v/>
      </c>
      <c r="L68" s="336">
        <f>IF(Records!X68="","",Records!X68)</f>
        <v/>
      </c>
      <c r="M68" s="336">
        <f>IF(COUNT(Records!S68,Records!T68,Records!U68)=3,AVERAGE(Records!S68,Records!T68,Records!U68),"")</f>
        <v/>
      </c>
      <c r="N68" s="336">
        <f>IF(COUNT(Records!V68,Records!O68,Records!P68)=3,AVERAGE(Records!V68,Records!O68,Records!P68),"")</f>
        <v/>
      </c>
      <c r="O68" s="336">
        <f>IF(Records!N68="","",Records!N68)</f>
        <v/>
      </c>
      <c r="P68" s="337">
        <f>IF(Records!AA68="","",IF(Records!AA68&gt;150,"是","否"))</f>
        <v/>
      </c>
      <c r="Q68" s="337">
        <f>IF(COUNT(Records!K68,Records!L68,Records!M68,Records!O68,Records!P68,Records!Q68,Records!R68,Records!S68,Records!T68,Records!U68,Records!V68,Records!W68,Records!X68)&lt;13,"",IF(OR(AND(Records!K68=Records!L68,Records!L68=Records!M68,Records!M68=Records!O68,Records!O68=Records!P68),AND(Records!L68=Records!M68,Records!M68=Records!O68,Records!O68=Records!P68,Records!P68=Records!Q68),AND(Records!M68=Records!O68,Records!O68=Records!P68,Records!P68=Records!Q68,Records!Q68=Records!R68),AND(Records!O68=Records!P68,Records!P68=Records!Q68,Records!Q68=Records!R68,Records!R68=Records!S68),AND(Records!P68=Records!Q68,Records!Q68=Records!R68,Records!R68=Records!S68,Records!S68=Records!T68),AND(Records!Q68=Records!R68,Records!R68=Records!S68,Records!S68=Records!T68,Records!T68=Records!U68),AND(Records!R68=Records!S68,Records!S68=Records!T68,Records!T68=Records!U68,Records!U68=Records!V68),AND(Records!S68=Records!T68,Records!T68=Records!U68,Records!U68=Records!V68,Records!V68=Records!W68),AND(Records!T68=Records!U68,Records!U68=Records!V68,Records!V68=Records!W68,Records!W68=Records!X68)),"是","否"))</f>
        <v/>
      </c>
      <c r="R68" s="336">
        <f>IF(Records!AF68="","",Records!AF68)</f>
        <v/>
      </c>
      <c r="S68" s="336">
        <f>IF(Records!AG68="","",Records!AG68)</f>
        <v/>
      </c>
      <c r="T68" s="336">
        <f>IF(Records!AH68="","",Records!AH68)</f>
        <v/>
      </c>
      <c r="U68" s="336">
        <f>IF(Records!AI68="","",Records!AI68)</f>
        <v/>
      </c>
      <c r="V68" s="336">
        <f>IF(Records!AJ68="","",Records!AJ68)</f>
        <v/>
      </c>
      <c r="W68" s="336">
        <f>IF(Records!AK68="","",Records!AK68)</f>
        <v/>
      </c>
      <c r="X68" s="336">
        <f>IF(Records!AL68="","",Records!AL68)</f>
        <v/>
      </c>
      <c r="Y68" s="336">
        <f>IF(Records!AM68="","",Records!AM68)</f>
        <v/>
      </c>
      <c r="Z68" s="336">
        <f>IF(Records!AN68="","",Records!AN68)</f>
        <v/>
      </c>
    </row>
    <row r="69">
      <c r="A69" s="335">
        <f>IF(Records!A69="","",Records!A69)</f>
        <v/>
      </c>
      <c r="B69" s="335">
        <f>IF(Records!B69="","",Records!B69)</f>
        <v/>
      </c>
      <c r="C69" s="336">
        <f>IF(Records!H69="","",Records!H69)</f>
        <v/>
      </c>
      <c r="D69" s="336">
        <f>IF(Records!F69="","",Records!F69)</f>
        <v/>
      </c>
      <c r="E69" s="337">
        <f>IF(AND(COUNTIFS(Participants!$A$3:$A$26,Records!A69,Participants!$V$3:$V$26,"是")=1,Records!AB69="是",Records!AC69="是",Records!AD69="是",COUNT(Records!K69,Records!L69,Records!M69,Records!O69,Records!P69,Records!Q69,Records!R69,Records!S69,Records!T69,Records!U69,Records!V69,Records!W69,Records!X69)=13),"是","否")</f>
        <v/>
      </c>
      <c r="F69" s="336">
        <f>IF(Records!K69="","",Records!K69)</f>
        <v/>
      </c>
      <c r="G69" s="336">
        <f>IF(Records!R69="","",Records!R69)</f>
        <v/>
      </c>
      <c r="H69" s="336">
        <f>IF(Records!L69="","",Records!L69)</f>
        <v/>
      </c>
      <c r="I69" s="336">
        <f>IF(Records!M69="","",Records!M69)</f>
        <v/>
      </c>
      <c r="J69" s="336">
        <f>IF(Records!Q69="","",Records!Q69)</f>
        <v/>
      </c>
      <c r="K69" s="336">
        <f>IF(Records!W69="","",Records!W69)</f>
        <v/>
      </c>
      <c r="L69" s="336">
        <f>IF(Records!X69="","",Records!X69)</f>
        <v/>
      </c>
      <c r="M69" s="336">
        <f>IF(COUNT(Records!S69,Records!T69,Records!U69)=3,AVERAGE(Records!S69,Records!T69,Records!U69),"")</f>
        <v/>
      </c>
      <c r="N69" s="336">
        <f>IF(COUNT(Records!V69,Records!O69,Records!P69)=3,AVERAGE(Records!V69,Records!O69,Records!P69),"")</f>
        <v/>
      </c>
      <c r="O69" s="336">
        <f>IF(Records!N69="","",Records!N69)</f>
        <v/>
      </c>
      <c r="P69" s="337">
        <f>IF(Records!AA69="","",IF(Records!AA69&gt;150,"是","否"))</f>
        <v/>
      </c>
      <c r="Q69" s="337">
        <f>IF(COUNT(Records!K69,Records!L69,Records!M69,Records!O69,Records!P69,Records!Q69,Records!R69,Records!S69,Records!T69,Records!U69,Records!V69,Records!W69,Records!X69)&lt;13,"",IF(OR(AND(Records!K69=Records!L69,Records!L69=Records!M69,Records!M69=Records!O69,Records!O69=Records!P69),AND(Records!L69=Records!M69,Records!M69=Records!O69,Records!O69=Records!P69,Records!P69=Records!Q69),AND(Records!M69=Records!O69,Records!O69=Records!P69,Records!P69=Records!Q69,Records!Q69=Records!R69),AND(Records!O69=Records!P69,Records!P69=Records!Q69,Records!Q69=Records!R69,Records!R69=Records!S69),AND(Records!P69=Records!Q69,Records!Q69=Records!R69,Records!R69=Records!S69,Records!S69=Records!T69),AND(Records!Q69=Records!R69,Records!R69=Records!S69,Records!S69=Records!T69,Records!T69=Records!U69),AND(Records!R69=Records!S69,Records!S69=Records!T69,Records!T69=Records!U69,Records!U69=Records!V69),AND(Records!S69=Records!T69,Records!T69=Records!U69,Records!U69=Records!V69,Records!V69=Records!W69),AND(Records!T69=Records!U69,Records!U69=Records!V69,Records!V69=Records!W69,Records!W69=Records!X69)),"是","否"))</f>
        <v/>
      </c>
      <c r="R69" s="336">
        <f>IF(Records!AF69="","",Records!AF69)</f>
        <v/>
      </c>
      <c r="S69" s="336">
        <f>IF(Records!AG69="","",Records!AG69)</f>
        <v/>
      </c>
      <c r="T69" s="336">
        <f>IF(Records!AH69="","",Records!AH69)</f>
        <v/>
      </c>
      <c r="U69" s="336">
        <f>IF(Records!AI69="","",Records!AI69)</f>
        <v/>
      </c>
      <c r="V69" s="336">
        <f>IF(Records!AJ69="","",Records!AJ69)</f>
        <v/>
      </c>
      <c r="W69" s="336">
        <f>IF(Records!AK69="","",Records!AK69)</f>
        <v/>
      </c>
      <c r="X69" s="336">
        <f>IF(Records!AL69="","",Records!AL69)</f>
        <v/>
      </c>
      <c r="Y69" s="336">
        <f>IF(Records!AM69="","",Records!AM69)</f>
        <v/>
      </c>
      <c r="Z69" s="336">
        <f>IF(Records!AN69="","",Records!AN69)</f>
        <v/>
      </c>
    </row>
    <row r="70">
      <c r="A70" s="335">
        <f>IF(Records!A70="","",Records!A70)</f>
        <v/>
      </c>
      <c r="B70" s="335">
        <f>IF(Records!B70="","",Records!B70)</f>
        <v/>
      </c>
      <c r="C70" s="336">
        <f>IF(Records!H70="","",Records!H70)</f>
        <v/>
      </c>
      <c r="D70" s="336">
        <f>IF(Records!F70="","",Records!F70)</f>
        <v/>
      </c>
      <c r="E70" s="337">
        <f>IF(AND(COUNTIFS(Participants!$A$3:$A$26,Records!A70,Participants!$V$3:$V$26,"是")=1,Records!AB70="是",Records!AC70="是",Records!AD70="是",COUNT(Records!K70,Records!L70,Records!M70,Records!O70,Records!P70,Records!Q70,Records!R70,Records!S70,Records!T70,Records!U70,Records!V70,Records!W70,Records!X70)=13),"是","否")</f>
        <v/>
      </c>
      <c r="F70" s="336">
        <f>IF(Records!K70="","",Records!K70)</f>
        <v/>
      </c>
      <c r="G70" s="336">
        <f>IF(Records!R70="","",Records!R70)</f>
        <v/>
      </c>
      <c r="H70" s="336">
        <f>IF(Records!L70="","",Records!L70)</f>
        <v/>
      </c>
      <c r="I70" s="336">
        <f>IF(Records!M70="","",Records!M70)</f>
        <v/>
      </c>
      <c r="J70" s="336">
        <f>IF(Records!Q70="","",Records!Q70)</f>
        <v/>
      </c>
      <c r="K70" s="336">
        <f>IF(Records!W70="","",Records!W70)</f>
        <v/>
      </c>
      <c r="L70" s="336">
        <f>IF(Records!X70="","",Records!X70)</f>
        <v/>
      </c>
      <c r="M70" s="336">
        <f>IF(COUNT(Records!S70,Records!T70,Records!U70)=3,AVERAGE(Records!S70,Records!T70,Records!U70),"")</f>
        <v/>
      </c>
      <c r="N70" s="336">
        <f>IF(COUNT(Records!V70,Records!O70,Records!P70)=3,AVERAGE(Records!V70,Records!O70,Records!P70),"")</f>
        <v/>
      </c>
      <c r="O70" s="336">
        <f>IF(Records!N70="","",Records!N70)</f>
        <v/>
      </c>
      <c r="P70" s="337">
        <f>IF(Records!AA70="","",IF(Records!AA70&gt;150,"是","否"))</f>
        <v/>
      </c>
      <c r="Q70" s="337">
        <f>IF(COUNT(Records!K70,Records!L70,Records!M70,Records!O70,Records!P70,Records!Q70,Records!R70,Records!S70,Records!T70,Records!U70,Records!V70,Records!W70,Records!X70)&lt;13,"",IF(OR(AND(Records!K70=Records!L70,Records!L70=Records!M70,Records!M70=Records!O70,Records!O70=Records!P70),AND(Records!L70=Records!M70,Records!M70=Records!O70,Records!O70=Records!P70,Records!P70=Records!Q70),AND(Records!M70=Records!O70,Records!O70=Records!P70,Records!P70=Records!Q70,Records!Q70=Records!R70),AND(Records!O70=Records!P70,Records!P70=Records!Q70,Records!Q70=Records!R70,Records!R70=Records!S70),AND(Records!P70=Records!Q70,Records!Q70=Records!R70,Records!R70=Records!S70,Records!S70=Records!T70),AND(Records!Q70=Records!R70,Records!R70=Records!S70,Records!S70=Records!T70,Records!T70=Records!U70),AND(Records!R70=Records!S70,Records!S70=Records!T70,Records!T70=Records!U70,Records!U70=Records!V70),AND(Records!S70=Records!T70,Records!T70=Records!U70,Records!U70=Records!V70,Records!V70=Records!W70),AND(Records!T70=Records!U70,Records!U70=Records!V70,Records!V70=Records!W70,Records!W70=Records!X70)),"是","否"))</f>
        <v/>
      </c>
      <c r="R70" s="336">
        <f>IF(Records!AF70="","",Records!AF70)</f>
        <v/>
      </c>
      <c r="S70" s="336">
        <f>IF(Records!AG70="","",Records!AG70)</f>
        <v/>
      </c>
      <c r="T70" s="336">
        <f>IF(Records!AH70="","",Records!AH70)</f>
        <v/>
      </c>
      <c r="U70" s="336">
        <f>IF(Records!AI70="","",Records!AI70)</f>
        <v/>
      </c>
      <c r="V70" s="336">
        <f>IF(Records!AJ70="","",Records!AJ70)</f>
        <v/>
      </c>
      <c r="W70" s="336">
        <f>IF(Records!AK70="","",Records!AK70)</f>
        <v/>
      </c>
      <c r="X70" s="336">
        <f>IF(Records!AL70="","",Records!AL70)</f>
        <v/>
      </c>
      <c r="Y70" s="336">
        <f>IF(Records!AM70="","",Records!AM70)</f>
        <v/>
      </c>
      <c r="Z70" s="336">
        <f>IF(Records!AN70="","",Records!AN70)</f>
        <v/>
      </c>
    </row>
    <row r="71">
      <c r="A71" s="335">
        <f>IF(Records!A71="","",Records!A71)</f>
        <v/>
      </c>
      <c r="B71" s="335">
        <f>IF(Records!B71="","",Records!B71)</f>
        <v/>
      </c>
      <c r="C71" s="336">
        <f>IF(Records!H71="","",Records!H71)</f>
        <v/>
      </c>
      <c r="D71" s="336">
        <f>IF(Records!F71="","",Records!F71)</f>
        <v/>
      </c>
      <c r="E71" s="337">
        <f>IF(AND(COUNTIFS(Participants!$A$3:$A$26,Records!A71,Participants!$V$3:$V$26,"是")=1,Records!AB71="是",Records!AC71="是",Records!AD71="是",COUNT(Records!K71,Records!L71,Records!M71,Records!O71,Records!P71,Records!Q71,Records!R71,Records!S71,Records!T71,Records!U71,Records!V71,Records!W71,Records!X71)=13),"是","否")</f>
        <v/>
      </c>
      <c r="F71" s="336">
        <f>IF(Records!K71="","",Records!K71)</f>
        <v/>
      </c>
      <c r="G71" s="336">
        <f>IF(Records!R71="","",Records!R71)</f>
        <v/>
      </c>
      <c r="H71" s="336">
        <f>IF(Records!L71="","",Records!L71)</f>
        <v/>
      </c>
      <c r="I71" s="336">
        <f>IF(Records!M71="","",Records!M71)</f>
        <v/>
      </c>
      <c r="J71" s="336">
        <f>IF(Records!Q71="","",Records!Q71)</f>
        <v/>
      </c>
      <c r="K71" s="336">
        <f>IF(Records!W71="","",Records!W71)</f>
        <v/>
      </c>
      <c r="L71" s="336">
        <f>IF(Records!X71="","",Records!X71)</f>
        <v/>
      </c>
      <c r="M71" s="336">
        <f>IF(COUNT(Records!S71,Records!T71,Records!U71)=3,AVERAGE(Records!S71,Records!T71,Records!U71),"")</f>
        <v/>
      </c>
      <c r="N71" s="336">
        <f>IF(COUNT(Records!V71,Records!O71,Records!P71)=3,AVERAGE(Records!V71,Records!O71,Records!P71),"")</f>
        <v/>
      </c>
      <c r="O71" s="336">
        <f>IF(Records!N71="","",Records!N71)</f>
        <v/>
      </c>
      <c r="P71" s="337">
        <f>IF(Records!AA71="","",IF(Records!AA71&gt;150,"是","否"))</f>
        <v/>
      </c>
      <c r="Q71" s="337">
        <f>IF(COUNT(Records!K71,Records!L71,Records!M71,Records!O71,Records!P71,Records!Q71,Records!R71,Records!S71,Records!T71,Records!U71,Records!V71,Records!W71,Records!X71)&lt;13,"",IF(OR(AND(Records!K71=Records!L71,Records!L71=Records!M71,Records!M71=Records!O71,Records!O71=Records!P71),AND(Records!L71=Records!M71,Records!M71=Records!O71,Records!O71=Records!P71,Records!P71=Records!Q71),AND(Records!M71=Records!O71,Records!O71=Records!P71,Records!P71=Records!Q71,Records!Q71=Records!R71),AND(Records!O71=Records!P71,Records!P71=Records!Q71,Records!Q71=Records!R71,Records!R71=Records!S71),AND(Records!P71=Records!Q71,Records!Q71=Records!R71,Records!R71=Records!S71,Records!S71=Records!T71),AND(Records!Q71=Records!R71,Records!R71=Records!S71,Records!S71=Records!T71,Records!T71=Records!U71),AND(Records!R71=Records!S71,Records!S71=Records!T71,Records!T71=Records!U71,Records!U71=Records!V71),AND(Records!S71=Records!T71,Records!T71=Records!U71,Records!U71=Records!V71,Records!V71=Records!W71),AND(Records!T71=Records!U71,Records!U71=Records!V71,Records!V71=Records!W71,Records!W71=Records!X71)),"是","否"))</f>
        <v/>
      </c>
      <c r="R71" s="336">
        <f>IF(Records!AF71="","",Records!AF71)</f>
        <v/>
      </c>
      <c r="S71" s="336">
        <f>IF(Records!AG71="","",Records!AG71)</f>
        <v/>
      </c>
      <c r="T71" s="336">
        <f>IF(Records!AH71="","",Records!AH71)</f>
        <v/>
      </c>
      <c r="U71" s="336">
        <f>IF(Records!AI71="","",Records!AI71)</f>
        <v/>
      </c>
      <c r="V71" s="336">
        <f>IF(Records!AJ71="","",Records!AJ71)</f>
        <v/>
      </c>
      <c r="W71" s="336">
        <f>IF(Records!AK71="","",Records!AK71)</f>
        <v/>
      </c>
      <c r="X71" s="336">
        <f>IF(Records!AL71="","",Records!AL71)</f>
        <v/>
      </c>
      <c r="Y71" s="336">
        <f>IF(Records!AM71="","",Records!AM71)</f>
        <v/>
      </c>
      <c r="Z71" s="336">
        <f>IF(Records!AN71="","",Records!AN71)</f>
        <v/>
      </c>
    </row>
    <row r="72">
      <c r="A72" s="335">
        <f>IF(Records!A72="","",Records!A72)</f>
        <v/>
      </c>
      <c r="B72" s="335">
        <f>IF(Records!B72="","",Records!B72)</f>
        <v/>
      </c>
      <c r="C72" s="336">
        <f>IF(Records!H72="","",Records!H72)</f>
        <v/>
      </c>
      <c r="D72" s="336">
        <f>IF(Records!F72="","",Records!F72)</f>
        <v/>
      </c>
      <c r="E72" s="337">
        <f>IF(AND(COUNTIFS(Participants!$A$3:$A$26,Records!A72,Participants!$V$3:$V$26,"是")=1,Records!AB72="是",Records!AC72="是",Records!AD72="是",COUNT(Records!K72,Records!L72,Records!M72,Records!O72,Records!P72,Records!Q72,Records!R72,Records!S72,Records!T72,Records!U72,Records!V72,Records!W72,Records!X72)=13),"是","否")</f>
        <v/>
      </c>
      <c r="F72" s="336">
        <f>IF(Records!K72="","",Records!K72)</f>
        <v/>
      </c>
      <c r="G72" s="336">
        <f>IF(Records!R72="","",Records!R72)</f>
        <v/>
      </c>
      <c r="H72" s="336">
        <f>IF(Records!L72="","",Records!L72)</f>
        <v/>
      </c>
      <c r="I72" s="336">
        <f>IF(Records!M72="","",Records!M72)</f>
        <v/>
      </c>
      <c r="J72" s="336">
        <f>IF(Records!Q72="","",Records!Q72)</f>
        <v/>
      </c>
      <c r="K72" s="336">
        <f>IF(Records!W72="","",Records!W72)</f>
        <v/>
      </c>
      <c r="L72" s="336">
        <f>IF(Records!X72="","",Records!X72)</f>
        <v/>
      </c>
      <c r="M72" s="336">
        <f>IF(COUNT(Records!S72,Records!T72,Records!U72)=3,AVERAGE(Records!S72,Records!T72,Records!U72),"")</f>
        <v/>
      </c>
      <c r="N72" s="336">
        <f>IF(COUNT(Records!V72,Records!O72,Records!P72)=3,AVERAGE(Records!V72,Records!O72,Records!P72),"")</f>
        <v/>
      </c>
      <c r="O72" s="336">
        <f>IF(Records!N72="","",Records!N72)</f>
        <v/>
      </c>
      <c r="P72" s="337">
        <f>IF(Records!AA72="","",IF(Records!AA72&gt;150,"是","否"))</f>
        <v/>
      </c>
      <c r="Q72" s="337">
        <f>IF(COUNT(Records!K72,Records!L72,Records!M72,Records!O72,Records!P72,Records!Q72,Records!R72,Records!S72,Records!T72,Records!U72,Records!V72,Records!W72,Records!X72)&lt;13,"",IF(OR(AND(Records!K72=Records!L72,Records!L72=Records!M72,Records!M72=Records!O72,Records!O72=Records!P72),AND(Records!L72=Records!M72,Records!M72=Records!O72,Records!O72=Records!P72,Records!P72=Records!Q72),AND(Records!M72=Records!O72,Records!O72=Records!P72,Records!P72=Records!Q72,Records!Q72=Records!R72),AND(Records!O72=Records!P72,Records!P72=Records!Q72,Records!Q72=Records!R72,Records!R72=Records!S72),AND(Records!P72=Records!Q72,Records!Q72=Records!R72,Records!R72=Records!S72,Records!S72=Records!T72),AND(Records!Q72=Records!R72,Records!R72=Records!S72,Records!S72=Records!T72,Records!T72=Records!U72),AND(Records!R72=Records!S72,Records!S72=Records!T72,Records!T72=Records!U72,Records!U72=Records!V72),AND(Records!S72=Records!T72,Records!T72=Records!U72,Records!U72=Records!V72,Records!V72=Records!W72),AND(Records!T72=Records!U72,Records!U72=Records!V72,Records!V72=Records!W72,Records!W72=Records!X72)),"是","否"))</f>
        <v/>
      </c>
      <c r="R72" s="336">
        <f>IF(Records!AF72="","",Records!AF72)</f>
        <v/>
      </c>
      <c r="S72" s="336">
        <f>IF(Records!AG72="","",Records!AG72)</f>
        <v/>
      </c>
      <c r="T72" s="336">
        <f>IF(Records!AH72="","",Records!AH72)</f>
        <v/>
      </c>
      <c r="U72" s="336">
        <f>IF(Records!AI72="","",Records!AI72)</f>
        <v/>
      </c>
      <c r="V72" s="336">
        <f>IF(Records!AJ72="","",Records!AJ72)</f>
        <v/>
      </c>
      <c r="W72" s="336">
        <f>IF(Records!AK72="","",Records!AK72)</f>
        <v/>
      </c>
      <c r="X72" s="336">
        <f>IF(Records!AL72="","",Records!AL72)</f>
        <v/>
      </c>
      <c r="Y72" s="336">
        <f>IF(Records!AM72="","",Records!AM72)</f>
        <v/>
      </c>
      <c r="Z72" s="336">
        <f>IF(Records!AN72="","",Records!AN72)</f>
        <v/>
      </c>
    </row>
    <row r="73">
      <c r="A73" s="335">
        <f>IF(Records!A73="","",Records!A73)</f>
        <v/>
      </c>
      <c r="B73" s="335">
        <f>IF(Records!B73="","",Records!B73)</f>
        <v/>
      </c>
      <c r="C73" s="336">
        <f>IF(Records!H73="","",Records!H73)</f>
        <v/>
      </c>
      <c r="D73" s="336">
        <f>IF(Records!F73="","",Records!F73)</f>
        <v/>
      </c>
      <c r="E73" s="337">
        <f>IF(AND(COUNTIFS(Participants!$A$3:$A$26,Records!A73,Participants!$V$3:$V$26,"是")=1,Records!AB73="是",Records!AC73="是",Records!AD73="是",COUNT(Records!K73,Records!L73,Records!M73,Records!O73,Records!P73,Records!Q73,Records!R73,Records!S73,Records!T73,Records!U73,Records!V73,Records!W73,Records!X73)=13),"是","否")</f>
        <v/>
      </c>
      <c r="F73" s="336">
        <f>IF(Records!K73="","",Records!K73)</f>
        <v/>
      </c>
      <c r="G73" s="336">
        <f>IF(Records!R73="","",Records!R73)</f>
        <v/>
      </c>
      <c r="H73" s="336">
        <f>IF(Records!L73="","",Records!L73)</f>
        <v/>
      </c>
      <c r="I73" s="336">
        <f>IF(Records!M73="","",Records!M73)</f>
        <v/>
      </c>
      <c r="J73" s="336">
        <f>IF(Records!Q73="","",Records!Q73)</f>
        <v/>
      </c>
      <c r="K73" s="336">
        <f>IF(Records!W73="","",Records!W73)</f>
        <v/>
      </c>
      <c r="L73" s="336">
        <f>IF(Records!X73="","",Records!X73)</f>
        <v/>
      </c>
      <c r="M73" s="336">
        <f>IF(COUNT(Records!S73,Records!T73,Records!U73)=3,AVERAGE(Records!S73,Records!T73,Records!U73),"")</f>
        <v/>
      </c>
      <c r="N73" s="336">
        <f>IF(COUNT(Records!V73,Records!O73,Records!P73)=3,AVERAGE(Records!V73,Records!O73,Records!P73),"")</f>
        <v/>
      </c>
      <c r="O73" s="336">
        <f>IF(Records!N73="","",Records!N73)</f>
        <v/>
      </c>
      <c r="P73" s="337">
        <f>IF(Records!AA73="","",IF(Records!AA73&gt;150,"是","否"))</f>
        <v/>
      </c>
      <c r="Q73" s="337">
        <f>IF(COUNT(Records!K73,Records!L73,Records!M73,Records!O73,Records!P73,Records!Q73,Records!R73,Records!S73,Records!T73,Records!U73,Records!V73,Records!W73,Records!X73)&lt;13,"",IF(OR(AND(Records!K73=Records!L73,Records!L73=Records!M73,Records!M73=Records!O73,Records!O73=Records!P73),AND(Records!L73=Records!M73,Records!M73=Records!O73,Records!O73=Records!P73,Records!P73=Records!Q73),AND(Records!M73=Records!O73,Records!O73=Records!P73,Records!P73=Records!Q73,Records!Q73=Records!R73),AND(Records!O73=Records!P73,Records!P73=Records!Q73,Records!Q73=Records!R73,Records!R73=Records!S73),AND(Records!P73=Records!Q73,Records!Q73=Records!R73,Records!R73=Records!S73,Records!S73=Records!T73),AND(Records!Q73=Records!R73,Records!R73=Records!S73,Records!S73=Records!T73,Records!T73=Records!U73),AND(Records!R73=Records!S73,Records!S73=Records!T73,Records!T73=Records!U73,Records!U73=Records!V73),AND(Records!S73=Records!T73,Records!T73=Records!U73,Records!U73=Records!V73,Records!V73=Records!W73),AND(Records!T73=Records!U73,Records!U73=Records!V73,Records!V73=Records!W73,Records!W73=Records!X73)),"是","否"))</f>
        <v/>
      </c>
      <c r="R73" s="336">
        <f>IF(Records!AF73="","",Records!AF73)</f>
        <v/>
      </c>
      <c r="S73" s="336">
        <f>IF(Records!AG73="","",Records!AG73)</f>
        <v/>
      </c>
      <c r="T73" s="336">
        <f>IF(Records!AH73="","",Records!AH73)</f>
        <v/>
      </c>
      <c r="U73" s="336">
        <f>IF(Records!AI73="","",Records!AI73)</f>
        <v/>
      </c>
      <c r="V73" s="336">
        <f>IF(Records!AJ73="","",Records!AJ73)</f>
        <v/>
      </c>
      <c r="W73" s="336">
        <f>IF(Records!AK73="","",Records!AK73)</f>
        <v/>
      </c>
      <c r="X73" s="336">
        <f>IF(Records!AL73="","",Records!AL73)</f>
        <v/>
      </c>
      <c r="Y73" s="336">
        <f>IF(Records!AM73="","",Records!AM73)</f>
        <v/>
      </c>
      <c r="Z73" s="336">
        <f>IF(Records!AN73="","",Records!AN73)</f>
        <v/>
      </c>
    </row>
    <row r="74">
      <c r="A74" s="335">
        <f>IF(Records!A74="","",Records!A74)</f>
        <v/>
      </c>
      <c r="B74" s="335">
        <f>IF(Records!B74="","",Records!B74)</f>
        <v/>
      </c>
      <c r="C74" s="336">
        <f>IF(Records!H74="","",Records!H74)</f>
        <v/>
      </c>
      <c r="D74" s="336">
        <f>IF(Records!F74="","",Records!F74)</f>
        <v/>
      </c>
      <c r="E74" s="337">
        <f>IF(AND(COUNTIFS(Participants!$A$3:$A$26,Records!A74,Participants!$V$3:$V$26,"是")=1,Records!AB74="是",Records!AC74="是",Records!AD74="是",COUNT(Records!K74,Records!L74,Records!M74,Records!O74,Records!P74,Records!Q74,Records!R74,Records!S74,Records!T74,Records!U74,Records!V74,Records!W74,Records!X74)=13),"是","否")</f>
        <v/>
      </c>
      <c r="F74" s="336">
        <f>IF(Records!K74="","",Records!K74)</f>
        <v/>
      </c>
      <c r="G74" s="336">
        <f>IF(Records!R74="","",Records!R74)</f>
        <v/>
      </c>
      <c r="H74" s="336">
        <f>IF(Records!L74="","",Records!L74)</f>
        <v/>
      </c>
      <c r="I74" s="336">
        <f>IF(Records!M74="","",Records!M74)</f>
        <v/>
      </c>
      <c r="J74" s="336">
        <f>IF(Records!Q74="","",Records!Q74)</f>
        <v/>
      </c>
      <c r="K74" s="336">
        <f>IF(Records!W74="","",Records!W74)</f>
        <v/>
      </c>
      <c r="L74" s="336">
        <f>IF(Records!X74="","",Records!X74)</f>
        <v/>
      </c>
      <c r="M74" s="336">
        <f>IF(COUNT(Records!S74,Records!T74,Records!U74)=3,AVERAGE(Records!S74,Records!T74,Records!U74),"")</f>
        <v/>
      </c>
      <c r="N74" s="336">
        <f>IF(COUNT(Records!V74,Records!O74,Records!P74)=3,AVERAGE(Records!V74,Records!O74,Records!P74),"")</f>
        <v/>
      </c>
      <c r="O74" s="336">
        <f>IF(Records!N74="","",Records!N74)</f>
        <v/>
      </c>
      <c r="P74" s="337">
        <f>IF(Records!AA74="","",IF(Records!AA74&gt;150,"是","否"))</f>
        <v/>
      </c>
      <c r="Q74" s="337">
        <f>IF(COUNT(Records!K74,Records!L74,Records!M74,Records!O74,Records!P74,Records!Q74,Records!R74,Records!S74,Records!T74,Records!U74,Records!V74,Records!W74,Records!X74)&lt;13,"",IF(OR(AND(Records!K74=Records!L74,Records!L74=Records!M74,Records!M74=Records!O74,Records!O74=Records!P74),AND(Records!L74=Records!M74,Records!M74=Records!O74,Records!O74=Records!P74,Records!P74=Records!Q74),AND(Records!M74=Records!O74,Records!O74=Records!P74,Records!P74=Records!Q74,Records!Q74=Records!R74),AND(Records!O74=Records!P74,Records!P74=Records!Q74,Records!Q74=Records!R74,Records!R74=Records!S74),AND(Records!P74=Records!Q74,Records!Q74=Records!R74,Records!R74=Records!S74,Records!S74=Records!T74),AND(Records!Q74=Records!R74,Records!R74=Records!S74,Records!S74=Records!T74,Records!T74=Records!U74),AND(Records!R74=Records!S74,Records!S74=Records!T74,Records!T74=Records!U74,Records!U74=Records!V74),AND(Records!S74=Records!T74,Records!T74=Records!U74,Records!U74=Records!V74,Records!V74=Records!W74),AND(Records!T74=Records!U74,Records!U74=Records!V74,Records!V74=Records!W74,Records!W74=Records!X74)),"是","否"))</f>
        <v/>
      </c>
      <c r="R74" s="336">
        <f>IF(Records!AF74="","",Records!AF74)</f>
        <v/>
      </c>
      <c r="S74" s="336">
        <f>IF(Records!AG74="","",Records!AG74)</f>
        <v/>
      </c>
      <c r="T74" s="336">
        <f>IF(Records!AH74="","",Records!AH74)</f>
        <v/>
      </c>
      <c r="U74" s="336">
        <f>IF(Records!AI74="","",Records!AI74)</f>
        <v/>
      </c>
      <c r="V74" s="336">
        <f>IF(Records!AJ74="","",Records!AJ74)</f>
        <v/>
      </c>
      <c r="W74" s="336">
        <f>IF(Records!AK74="","",Records!AK74)</f>
        <v/>
      </c>
      <c r="X74" s="336">
        <f>IF(Records!AL74="","",Records!AL74)</f>
        <v/>
      </c>
      <c r="Y74" s="336">
        <f>IF(Records!AM74="","",Records!AM74)</f>
        <v/>
      </c>
      <c r="Z74" s="336">
        <f>IF(Records!AN74="","",Records!AN74)</f>
        <v/>
      </c>
    </row>
    <row r="75">
      <c r="A75" s="335">
        <f>IF(Records!A75="","",Records!A75)</f>
        <v/>
      </c>
      <c r="B75" s="335">
        <f>IF(Records!B75="","",Records!B75)</f>
        <v/>
      </c>
      <c r="C75" s="336">
        <f>IF(Records!H75="","",Records!H75)</f>
        <v/>
      </c>
      <c r="D75" s="336">
        <f>IF(Records!F75="","",Records!F75)</f>
        <v/>
      </c>
      <c r="E75" s="337">
        <f>IF(AND(COUNTIFS(Participants!$A$3:$A$26,Records!A75,Participants!$V$3:$V$26,"是")=1,Records!AB75="是",Records!AC75="是",Records!AD75="是",COUNT(Records!K75,Records!L75,Records!M75,Records!O75,Records!P75,Records!Q75,Records!R75,Records!S75,Records!T75,Records!U75,Records!V75,Records!W75,Records!X75)=13),"是","否")</f>
        <v/>
      </c>
      <c r="F75" s="336">
        <f>IF(Records!K75="","",Records!K75)</f>
        <v/>
      </c>
      <c r="G75" s="336">
        <f>IF(Records!R75="","",Records!R75)</f>
        <v/>
      </c>
      <c r="H75" s="336">
        <f>IF(Records!L75="","",Records!L75)</f>
        <v/>
      </c>
      <c r="I75" s="336">
        <f>IF(Records!M75="","",Records!M75)</f>
        <v/>
      </c>
      <c r="J75" s="336">
        <f>IF(Records!Q75="","",Records!Q75)</f>
        <v/>
      </c>
      <c r="K75" s="336">
        <f>IF(Records!W75="","",Records!W75)</f>
        <v/>
      </c>
      <c r="L75" s="336">
        <f>IF(Records!X75="","",Records!X75)</f>
        <v/>
      </c>
      <c r="M75" s="336">
        <f>IF(COUNT(Records!S75,Records!T75,Records!U75)=3,AVERAGE(Records!S75,Records!T75,Records!U75),"")</f>
        <v/>
      </c>
      <c r="N75" s="336">
        <f>IF(COUNT(Records!V75,Records!O75,Records!P75)=3,AVERAGE(Records!V75,Records!O75,Records!P75),"")</f>
        <v/>
      </c>
      <c r="O75" s="336">
        <f>IF(Records!N75="","",Records!N75)</f>
        <v/>
      </c>
      <c r="P75" s="337">
        <f>IF(Records!AA75="","",IF(Records!AA75&gt;150,"是","否"))</f>
        <v/>
      </c>
      <c r="Q75" s="337">
        <f>IF(COUNT(Records!K75,Records!L75,Records!M75,Records!O75,Records!P75,Records!Q75,Records!R75,Records!S75,Records!T75,Records!U75,Records!V75,Records!W75,Records!X75)&lt;13,"",IF(OR(AND(Records!K75=Records!L75,Records!L75=Records!M75,Records!M75=Records!O75,Records!O75=Records!P75),AND(Records!L75=Records!M75,Records!M75=Records!O75,Records!O75=Records!P75,Records!P75=Records!Q75),AND(Records!M75=Records!O75,Records!O75=Records!P75,Records!P75=Records!Q75,Records!Q75=Records!R75),AND(Records!O75=Records!P75,Records!P75=Records!Q75,Records!Q75=Records!R75,Records!R75=Records!S75),AND(Records!P75=Records!Q75,Records!Q75=Records!R75,Records!R75=Records!S75,Records!S75=Records!T75),AND(Records!Q75=Records!R75,Records!R75=Records!S75,Records!S75=Records!T75,Records!T75=Records!U75),AND(Records!R75=Records!S75,Records!S75=Records!T75,Records!T75=Records!U75,Records!U75=Records!V75),AND(Records!S75=Records!T75,Records!T75=Records!U75,Records!U75=Records!V75,Records!V75=Records!W75),AND(Records!T75=Records!U75,Records!U75=Records!V75,Records!V75=Records!W75,Records!W75=Records!X75)),"是","否"))</f>
        <v/>
      </c>
      <c r="R75" s="336">
        <f>IF(Records!AF75="","",Records!AF75)</f>
        <v/>
      </c>
      <c r="S75" s="336">
        <f>IF(Records!AG75="","",Records!AG75)</f>
        <v/>
      </c>
      <c r="T75" s="336">
        <f>IF(Records!AH75="","",Records!AH75)</f>
        <v/>
      </c>
      <c r="U75" s="336">
        <f>IF(Records!AI75="","",Records!AI75)</f>
        <v/>
      </c>
      <c r="V75" s="336">
        <f>IF(Records!AJ75="","",Records!AJ75)</f>
        <v/>
      </c>
      <c r="W75" s="336">
        <f>IF(Records!AK75="","",Records!AK75)</f>
        <v/>
      </c>
      <c r="X75" s="336">
        <f>IF(Records!AL75="","",Records!AL75)</f>
        <v/>
      </c>
      <c r="Y75" s="336">
        <f>IF(Records!AM75="","",Records!AM75)</f>
        <v/>
      </c>
      <c r="Z75" s="336">
        <f>IF(Records!AN75="","",Records!AN75)</f>
        <v/>
      </c>
    </row>
    <row r="76">
      <c r="A76" s="335">
        <f>IF(Records!A76="","",Records!A76)</f>
        <v/>
      </c>
      <c r="B76" s="335">
        <f>IF(Records!B76="","",Records!B76)</f>
        <v/>
      </c>
      <c r="C76" s="336">
        <f>IF(Records!H76="","",Records!H76)</f>
        <v/>
      </c>
      <c r="D76" s="336">
        <f>IF(Records!F76="","",Records!F76)</f>
        <v/>
      </c>
      <c r="E76" s="337">
        <f>IF(AND(COUNTIFS(Participants!$A$3:$A$26,Records!A76,Participants!$V$3:$V$26,"是")=1,Records!AB76="是",Records!AC76="是",Records!AD76="是",COUNT(Records!K76,Records!L76,Records!M76,Records!O76,Records!P76,Records!Q76,Records!R76,Records!S76,Records!T76,Records!U76,Records!V76,Records!W76,Records!X76)=13),"是","否")</f>
        <v/>
      </c>
      <c r="F76" s="336">
        <f>IF(Records!K76="","",Records!K76)</f>
        <v/>
      </c>
      <c r="G76" s="336">
        <f>IF(Records!R76="","",Records!R76)</f>
        <v/>
      </c>
      <c r="H76" s="336">
        <f>IF(Records!L76="","",Records!L76)</f>
        <v/>
      </c>
      <c r="I76" s="336">
        <f>IF(Records!M76="","",Records!M76)</f>
        <v/>
      </c>
      <c r="J76" s="336">
        <f>IF(Records!Q76="","",Records!Q76)</f>
        <v/>
      </c>
      <c r="K76" s="336">
        <f>IF(Records!W76="","",Records!W76)</f>
        <v/>
      </c>
      <c r="L76" s="336">
        <f>IF(Records!X76="","",Records!X76)</f>
        <v/>
      </c>
      <c r="M76" s="336">
        <f>IF(COUNT(Records!S76,Records!T76,Records!U76)=3,AVERAGE(Records!S76,Records!T76,Records!U76),"")</f>
        <v/>
      </c>
      <c r="N76" s="336">
        <f>IF(COUNT(Records!V76,Records!O76,Records!P76)=3,AVERAGE(Records!V76,Records!O76,Records!P76),"")</f>
        <v/>
      </c>
      <c r="O76" s="336">
        <f>IF(Records!N76="","",Records!N76)</f>
        <v/>
      </c>
      <c r="P76" s="337">
        <f>IF(Records!AA76="","",IF(Records!AA76&gt;150,"是","否"))</f>
        <v/>
      </c>
      <c r="Q76" s="337">
        <f>IF(COUNT(Records!K76,Records!L76,Records!M76,Records!O76,Records!P76,Records!Q76,Records!R76,Records!S76,Records!T76,Records!U76,Records!V76,Records!W76,Records!X76)&lt;13,"",IF(OR(AND(Records!K76=Records!L76,Records!L76=Records!M76,Records!M76=Records!O76,Records!O76=Records!P76),AND(Records!L76=Records!M76,Records!M76=Records!O76,Records!O76=Records!P76,Records!P76=Records!Q76),AND(Records!M76=Records!O76,Records!O76=Records!P76,Records!P76=Records!Q76,Records!Q76=Records!R76),AND(Records!O76=Records!P76,Records!P76=Records!Q76,Records!Q76=Records!R76,Records!R76=Records!S76),AND(Records!P76=Records!Q76,Records!Q76=Records!R76,Records!R76=Records!S76,Records!S76=Records!T76),AND(Records!Q76=Records!R76,Records!R76=Records!S76,Records!S76=Records!T76,Records!T76=Records!U76),AND(Records!R76=Records!S76,Records!S76=Records!T76,Records!T76=Records!U76,Records!U76=Records!V76),AND(Records!S76=Records!T76,Records!T76=Records!U76,Records!U76=Records!V76,Records!V76=Records!W76),AND(Records!T76=Records!U76,Records!U76=Records!V76,Records!V76=Records!W76,Records!W76=Records!X76)),"是","否"))</f>
        <v/>
      </c>
      <c r="R76" s="336">
        <f>IF(Records!AF76="","",Records!AF76)</f>
        <v/>
      </c>
      <c r="S76" s="336">
        <f>IF(Records!AG76="","",Records!AG76)</f>
        <v/>
      </c>
      <c r="T76" s="336">
        <f>IF(Records!AH76="","",Records!AH76)</f>
        <v/>
      </c>
      <c r="U76" s="336">
        <f>IF(Records!AI76="","",Records!AI76)</f>
        <v/>
      </c>
      <c r="V76" s="336">
        <f>IF(Records!AJ76="","",Records!AJ76)</f>
        <v/>
      </c>
      <c r="W76" s="336">
        <f>IF(Records!AK76="","",Records!AK76)</f>
        <v/>
      </c>
      <c r="X76" s="336">
        <f>IF(Records!AL76="","",Records!AL76)</f>
        <v/>
      </c>
      <c r="Y76" s="336">
        <f>IF(Records!AM76="","",Records!AM76)</f>
        <v/>
      </c>
      <c r="Z76" s="336">
        <f>IF(Records!AN76="","",Records!AN76)</f>
        <v/>
      </c>
    </row>
    <row r="77">
      <c r="A77" s="335">
        <f>IF(Records!A77="","",Records!A77)</f>
        <v/>
      </c>
      <c r="B77" s="335">
        <f>IF(Records!B77="","",Records!B77)</f>
        <v/>
      </c>
      <c r="C77" s="336">
        <f>IF(Records!H77="","",Records!H77)</f>
        <v/>
      </c>
      <c r="D77" s="336">
        <f>IF(Records!F77="","",Records!F77)</f>
        <v/>
      </c>
      <c r="E77" s="337">
        <f>IF(AND(COUNTIFS(Participants!$A$3:$A$26,Records!A77,Participants!$V$3:$V$26,"是")=1,Records!AB77="是",Records!AC77="是",Records!AD77="是",COUNT(Records!K77,Records!L77,Records!M77,Records!O77,Records!P77,Records!Q77,Records!R77,Records!S77,Records!T77,Records!U77,Records!V77,Records!W77,Records!X77)=13),"是","否")</f>
        <v/>
      </c>
      <c r="F77" s="336">
        <f>IF(Records!K77="","",Records!K77)</f>
        <v/>
      </c>
      <c r="G77" s="336">
        <f>IF(Records!R77="","",Records!R77)</f>
        <v/>
      </c>
      <c r="H77" s="336">
        <f>IF(Records!L77="","",Records!L77)</f>
        <v/>
      </c>
      <c r="I77" s="336">
        <f>IF(Records!M77="","",Records!M77)</f>
        <v/>
      </c>
      <c r="J77" s="336">
        <f>IF(Records!Q77="","",Records!Q77)</f>
        <v/>
      </c>
      <c r="K77" s="336">
        <f>IF(Records!W77="","",Records!W77)</f>
        <v/>
      </c>
      <c r="L77" s="336">
        <f>IF(Records!X77="","",Records!X77)</f>
        <v/>
      </c>
      <c r="M77" s="336">
        <f>IF(COUNT(Records!S77,Records!T77,Records!U77)=3,AVERAGE(Records!S77,Records!T77,Records!U77),"")</f>
        <v/>
      </c>
      <c r="N77" s="336">
        <f>IF(COUNT(Records!V77,Records!O77,Records!P77)=3,AVERAGE(Records!V77,Records!O77,Records!P77),"")</f>
        <v/>
      </c>
      <c r="O77" s="336">
        <f>IF(Records!N77="","",Records!N77)</f>
        <v/>
      </c>
      <c r="P77" s="337">
        <f>IF(Records!AA77="","",IF(Records!AA77&gt;150,"是","否"))</f>
        <v/>
      </c>
      <c r="Q77" s="337">
        <f>IF(COUNT(Records!K77,Records!L77,Records!M77,Records!O77,Records!P77,Records!Q77,Records!R77,Records!S77,Records!T77,Records!U77,Records!V77,Records!W77,Records!X77)&lt;13,"",IF(OR(AND(Records!K77=Records!L77,Records!L77=Records!M77,Records!M77=Records!O77,Records!O77=Records!P77),AND(Records!L77=Records!M77,Records!M77=Records!O77,Records!O77=Records!P77,Records!P77=Records!Q77),AND(Records!M77=Records!O77,Records!O77=Records!P77,Records!P77=Records!Q77,Records!Q77=Records!R77),AND(Records!O77=Records!P77,Records!P77=Records!Q77,Records!Q77=Records!R77,Records!R77=Records!S77),AND(Records!P77=Records!Q77,Records!Q77=Records!R77,Records!R77=Records!S77,Records!S77=Records!T77),AND(Records!Q77=Records!R77,Records!R77=Records!S77,Records!S77=Records!T77,Records!T77=Records!U77),AND(Records!R77=Records!S77,Records!S77=Records!T77,Records!T77=Records!U77,Records!U77=Records!V77),AND(Records!S77=Records!T77,Records!T77=Records!U77,Records!U77=Records!V77,Records!V77=Records!W77),AND(Records!T77=Records!U77,Records!U77=Records!V77,Records!V77=Records!W77,Records!W77=Records!X77)),"是","否"))</f>
        <v/>
      </c>
      <c r="R77" s="336">
        <f>IF(Records!AF77="","",Records!AF77)</f>
        <v/>
      </c>
      <c r="S77" s="336">
        <f>IF(Records!AG77="","",Records!AG77)</f>
        <v/>
      </c>
      <c r="T77" s="336">
        <f>IF(Records!AH77="","",Records!AH77)</f>
        <v/>
      </c>
      <c r="U77" s="336">
        <f>IF(Records!AI77="","",Records!AI77)</f>
        <v/>
      </c>
      <c r="V77" s="336">
        <f>IF(Records!AJ77="","",Records!AJ77)</f>
        <v/>
      </c>
      <c r="W77" s="336">
        <f>IF(Records!AK77="","",Records!AK77)</f>
        <v/>
      </c>
      <c r="X77" s="336">
        <f>IF(Records!AL77="","",Records!AL77)</f>
        <v/>
      </c>
      <c r="Y77" s="336">
        <f>IF(Records!AM77="","",Records!AM77)</f>
        <v/>
      </c>
      <c r="Z77" s="336">
        <f>IF(Records!AN77="","",Records!AN77)</f>
        <v/>
      </c>
    </row>
    <row r="78">
      <c r="A78" s="335">
        <f>IF(Records!A78="","",Records!A78)</f>
        <v/>
      </c>
      <c r="B78" s="335">
        <f>IF(Records!B78="","",Records!B78)</f>
        <v/>
      </c>
      <c r="C78" s="336">
        <f>IF(Records!H78="","",Records!H78)</f>
        <v/>
      </c>
      <c r="D78" s="336">
        <f>IF(Records!F78="","",Records!F78)</f>
        <v/>
      </c>
      <c r="E78" s="337">
        <f>IF(AND(COUNTIFS(Participants!$A$3:$A$26,Records!A78,Participants!$V$3:$V$26,"是")=1,Records!AB78="是",Records!AC78="是",Records!AD78="是",COUNT(Records!K78,Records!L78,Records!M78,Records!O78,Records!P78,Records!Q78,Records!R78,Records!S78,Records!T78,Records!U78,Records!V78,Records!W78,Records!X78)=13),"是","否")</f>
        <v/>
      </c>
      <c r="F78" s="336">
        <f>IF(Records!K78="","",Records!K78)</f>
        <v/>
      </c>
      <c r="G78" s="336">
        <f>IF(Records!R78="","",Records!R78)</f>
        <v/>
      </c>
      <c r="H78" s="336">
        <f>IF(Records!L78="","",Records!L78)</f>
        <v/>
      </c>
      <c r="I78" s="336">
        <f>IF(Records!M78="","",Records!M78)</f>
        <v/>
      </c>
      <c r="J78" s="336">
        <f>IF(Records!Q78="","",Records!Q78)</f>
        <v/>
      </c>
      <c r="K78" s="336">
        <f>IF(Records!W78="","",Records!W78)</f>
        <v/>
      </c>
      <c r="L78" s="336">
        <f>IF(Records!X78="","",Records!X78)</f>
        <v/>
      </c>
      <c r="M78" s="336">
        <f>IF(COUNT(Records!S78,Records!T78,Records!U78)=3,AVERAGE(Records!S78,Records!T78,Records!U78),"")</f>
        <v/>
      </c>
      <c r="N78" s="336">
        <f>IF(COUNT(Records!V78,Records!O78,Records!P78)=3,AVERAGE(Records!V78,Records!O78,Records!P78),"")</f>
        <v/>
      </c>
      <c r="O78" s="336">
        <f>IF(Records!N78="","",Records!N78)</f>
        <v/>
      </c>
      <c r="P78" s="337">
        <f>IF(Records!AA78="","",IF(Records!AA78&gt;150,"是","否"))</f>
        <v/>
      </c>
      <c r="Q78" s="337">
        <f>IF(COUNT(Records!K78,Records!L78,Records!M78,Records!O78,Records!P78,Records!Q78,Records!R78,Records!S78,Records!T78,Records!U78,Records!V78,Records!W78,Records!X78)&lt;13,"",IF(OR(AND(Records!K78=Records!L78,Records!L78=Records!M78,Records!M78=Records!O78,Records!O78=Records!P78),AND(Records!L78=Records!M78,Records!M78=Records!O78,Records!O78=Records!P78,Records!P78=Records!Q78),AND(Records!M78=Records!O78,Records!O78=Records!P78,Records!P78=Records!Q78,Records!Q78=Records!R78),AND(Records!O78=Records!P78,Records!P78=Records!Q78,Records!Q78=Records!R78,Records!R78=Records!S78),AND(Records!P78=Records!Q78,Records!Q78=Records!R78,Records!R78=Records!S78,Records!S78=Records!T78),AND(Records!Q78=Records!R78,Records!R78=Records!S78,Records!S78=Records!T78,Records!T78=Records!U78),AND(Records!R78=Records!S78,Records!S78=Records!T78,Records!T78=Records!U78,Records!U78=Records!V78),AND(Records!S78=Records!T78,Records!T78=Records!U78,Records!U78=Records!V78,Records!V78=Records!W78),AND(Records!T78=Records!U78,Records!U78=Records!V78,Records!V78=Records!W78,Records!W78=Records!X78)),"是","否"))</f>
        <v/>
      </c>
      <c r="R78" s="336">
        <f>IF(Records!AF78="","",Records!AF78)</f>
        <v/>
      </c>
      <c r="S78" s="336">
        <f>IF(Records!AG78="","",Records!AG78)</f>
        <v/>
      </c>
      <c r="T78" s="336">
        <f>IF(Records!AH78="","",Records!AH78)</f>
        <v/>
      </c>
      <c r="U78" s="336">
        <f>IF(Records!AI78="","",Records!AI78)</f>
        <v/>
      </c>
      <c r="V78" s="336">
        <f>IF(Records!AJ78="","",Records!AJ78)</f>
        <v/>
      </c>
      <c r="W78" s="336">
        <f>IF(Records!AK78="","",Records!AK78)</f>
        <v/>
      </c>
      <c r="X78" s="336">
        <f>IF(Records!AL78="","",Records!AL78)</f>
        <v/>
      </c>
      <c r="Y78" s="336">
        <f>IF(Records!AM78="","",Records!AM78)</f>
        <v/>
      </c>
      <c r="Z78" s="336">
        <f>IF(Records!AN78="","",Records!AN78)</f>
        <v/>
      </c>
    </row>
    <row r="79">
      <c r="A79" s="335">
        <f>IF(Records!A79="","",Records!A79)</f>
        <v/>
      </c>
      <c r="B79" s="335">
        <f>IF(Records!B79="","",Records!B79)</f>
        <v/>
      </c>
      <c r="C79" s="336">
        <f>IF(Records!H79="","",Records!H79)</f>
        <v/>
      </c>
      <c r="D79" s="336">
        <f>IF(Records!F79="","",Records!F79)</f>
        <v/>
      </c>
      <c r="E79" s="337">
        <f>IF(AND(COUNTIFS(Participants!$A$3:$A$26,Records!A79,Participants!$V$3:$V$26,"是")=1,Records!AB79="是",Records!AC79="是",Records!AD79="是",COUNT(Records!K79,Records!L79,Records!M79,Records!O79,Records!P79,Records!Q79,Records!R79,Records!S79,Records!T79,Records!U79,Records!V79,Records!W79,Records!X79)=13),"是","否")</f>
        <v/>
      </c>
      <c r="F79" s="336">
        <f>IF(Records!K79="","",Records!K79)</f>
        <v/>
      </c>
      <c r="G79" s="336">
        <f>IF(Records!R79="","",Records!R79)</f>
        <v/>
      </c>
      <c r="H79" s="336">
        <f>IF(Records!L79="","",Records!L79)</f>
        <v/>
      </c>
      <c r="I79" s="336">
        <f>IF(Records!M79="","",Records!M79)</f>
        <v/>
      </c>
      <c r="J79" s="336">
        <f>IF(Records!Q79="","",Records!Q79)</f>
        <v/>
      </c>
      <c r="K79" s="336">
        <f>IF(Records!W79="","",Records!W79)</f>
        <v/>
      </c>
      <c r="L79" s="336">
        <f>IF(Records!X79="","",Records!X79)</f>
        <v/>
      </c>
      <c r="M79" s="336">
        <f>IF(COUNT(Records!S79,Records!T79,Records!U79)=3,AVERAGE(Records!S79,Records!T79,Records!U79),"")</f>
        <v/>
      </c>
      <c r="N79" s="336">
        <f>IF(COUNT(Records!V79,Records!O79,Records!P79)=3,AVERAGE(Records!V79,Records!O79,Records!P79),"")</f>
        <v/>
      </c>
      <c r="O79" s="336">
        <f>IF(Records!N79="","",Records!N79)</f>
        <v/>
      </c>
      <c r="P79" s="337">
        <f>IF(Records!AA79="","",IF(Records!AA79&gt;150,"是","否"))</f>
        <v/>
      </c>
      <c r="Q79" s="337">
        <f>IF(COUNT(Records!K79,Records!L79,Records!M79,Records!O79,Records!P79,Records!Q79,Records!R79,Records!S79,Records!T79,Records!U79,Records!V79,Records!W79,Records!X79)&lt;13,"",IF(OR(AND(Records!K79=Records!L79,Records!L79=Records!M79,Records!M79=Records!O79,Records!O79=Records!P79),AND(Records!L79=Records!M79,Records!M79=Records!O79,Records!O79=Records!P79,Records!P79=Records!Q79),AND(Records!M79=Records!O79,Records!O79=Records!P79,Records!P79=Records!Q79,Records!Q79=Records!R79),AND(Records!O79=Records!P79,Records!P79=Records!Q79,Records!Q79=Records!R79,Records!R79=Records!S79),AND(Records!P79=Records!Q79,Records!Q79=Records!R79,Records!R79=Records!S79,Records!S79=Records!T79),AND(Records!Q79=Records!R79,Records!R79=Records!S79,Records!S79=Records!T79,Records!T79=Records!U79),AND(Records!R79=Records!S79,Records!S79=Records!T79,Records!T79=Records!U79,Records!U79=Records!V79),AND(Records!S79=Records!T79,Records!T79=Records!U79,Records!U79=Records!V79,Records!V79=Records!W79),AND(Records!T79=Records!U79,Records!U79=Records!V79,Records!V79=Records!W79,Records!W79=Records!X79)),"是","否"))</f>
        <v/>
      </c>
      <c r="R79" s="336">
        <f>IF(Records!AF79="","",Records!AF79)</f>
        <v/>
      </c>
      <c r="S79" s="336">
        <f>IF(Records!AG79="","",Records!AG79)</f>
        <v/>
      </c>
      <c r="T79" s="336">
        <f>IF(Records!AH79="","",Records!AH79)</f>
        <v/>
      </c>
      <c r="U79" s="336">
        <f>IF(Records!AI79="","",Records!AI79)</f>
        <v/>
      </c>
      <c r="V79" s="336">
        <f>IF(Records!AJ79="","",Records!AJ79)</f>
        <v/>
      </c>
      <c r="W79" s="336">
        <f>IF(Records!AK79="","",Records!AK79)</f>
        <v/>
      </c>
      <c r="X79" s="336">
        <f>IF(Records!AL79="","",Records!AL79)</f>
        <v/>
      </c>
      <c r="Y79" s="336">
        <f>IF(Records!AM79="","",Records!AM79)</f>
        <v/>
      </c>
      <c r="Z79" s="336">
        <f>IF(Records!AN79="","",Records!AN79)</f>
        <v/>
      </c>
    </row>
    <row r="80">
      <c r="A80" s="335">
        <f>IF(Records!A80="","",Records!A80)</f>
        <v/>
      </c>
      <c r="B80" s="335">
        <f>IF(Records!B80="","",Records!B80)</f>
        <v/>
      </c>
      <c r="C80" s="336">
        <f>IF(Records!H80="","",Records!H80)</f>
        <v/>
      </c>
      <c r="D80" s="336">
        <f>IF(Records!F80="","",Records!F80)</f>
        <v/>
      </c>
      <c r="E80" s="337">
        <f>IF(AND(COUNTIFS(Participants!$A$3:$A$26,Records!A80,Participants!$V$3:$V$26,"是")=1,Records!AB80="是",Records!AC80="是",Records!AD80="是",COUNT(Records!K80,Records!L80,Records!M80,Records!O80,Records!P80,Records!Q80,Records!R80,Records!S80,Records!T80,Records!U80,Records!V80,Records!W80,Records!X80)=13),"是","否")</f>
        <v/>
      </c>
      <c r="F80" s="336">
        <f>IF(Records!K80="","",Records!K80)</f>
        <v/>
      </c>
      <c r="G80" s="336">
        <f>IF(Records!R80="","",Records!R80)</f>
        <v/>
      </c>
      <c r="H80" s="336">
        <f>IF(Records!L80="","",Records!L80)</f>
        <v/>
      </c>
      <c r="I80" s="336">
        <f>IF(Records!M80="","",Records!M80)</f>
        <v/>
      </c>
      <c r="J80" s="336">
        <f>IF(Records!Q80="","",Records!Q80)</f>
        <v/>
      </c>
      <c r="K80" s="336">
        <f>IF(Records!W80="","",Records!W80)</f>
        <v/>
      </c>
      <c r="L80" s="336">
        <f>IF(Records!X80="","",Records!X80)</f>
        <v/>
      </c>
      <c r="M80" s="336">
        <f>IF(COUNT(Records!S80,Records!T80,Records!U80)=3,AVERAGE(Records!S80,Records!T80,Records!U80),"")</f>
        <v/>
      </c>
      <c r="N80" s="336">
        <f>IF(COUNT(Records!V80,Records!O80,Records!P80)=3,AVERAGE(Records!V80,Records!O80,Records!P80),"")</f>
        <v/>
      </c>
      <c r="O80" s="336">
        <f>IF(Records!N80="","",Records!N80)</f>
        <v/>
      </c>
      <c r="P80" s="337">
        <f>IF(Records!AA80="","",IF(Records!AA80&gt;150,"是","否"))</f>
        <v/>
      </c>
      <c r="Q80" s="337">
        <f>IF(COUNT(Records!K80,Records!L80,Records!M80,Records!O80,Records!P80,Records!Q80,Records!R80,Records!S80,Records!T80,Records!U80,Records!V80,Records!W80,Records!X80)&lt;13,"",IF(OR(AND(Records!K80=Records!L80,Records!L80=Records!M80,Records!M80=Records!O80,Records!O80=Records!P80),AND(Records!L80=Records!M80,Records!M80=Records!O80,Records!O80=Records!P80,Records!P80=Records!Q80),AND(Records!M80=Records!O80,Records!O80=Records!P80,Records!P80=Records!Q80,Records!Q80=Records!R80),AND(Records!O80=Records!P80,Records!P80=Records!Q80,Records!Q80=Records!R80,Records!R80=Records!S80),AND(Records!P80=Records!Q80,Records!Q80=Records!R80,Records!R80=Records!S80,Records!S80=Records!T80),AND(Records!Q80=Records!R80,Records!R80=Records!S80,Records!S80=Records!T80,Records!T80=Records!U80),AND(Records!R80=Records!S80,Records!S80=Records!T80,Records!T80=Records!U80,Records!U80=Records!V80),AND(Records!S80=Records!T80,Records!T80=Records!U80,Records!U80=Records!V80,Records!V80=Records!W80),AND(Records!T80=Records!U80,Records!U80=Records!V80,Records!V80=Records!W80,Records!W80=Records!X80)),"是","否"))</f>
        <v/>
      </c>
      <c r="R80" s="336">
        <f>IF(Records!AF80="","",Records!AF80)</f>
        <v/>
      </c>
      <c r="S80" s="336">
        <f>IF(Records!AG80="","",Records!AG80)</f>
        <v/>
      </c>
      <c r="T80" s="336">
        <f>IF(Records!AH80="","",Records!AH80)</f>
        <v/>
      </c>
      <c r="U80" s="336">
        <f>IF(Records!AI80="","",Records!AI80)</f>
        <v/>
      </c>
      <c r="V80" s="336">
        <f>IF(Records!AJ80="","",Records!AJ80)</f>
        <v/>
      </c>
      <c r="W80" s="336">
        <f>IF(Records!AK80="","",Records!AK80)</f>
        <v/>
      </c>
      <c r="X80" s="336">
        <f>IF(Records!AL80="","",Records!AL80)</f>
        <v/>
      </c>
      <c r="Y80" s="336">
        <f>IF(Records!AM80="","",Records!AM80)</f>
        <v/>
      </c>
      <c r="Z80" s="336">
        <f>IF(Records!AN80="","",Records!AN80)</f>
        <v/>
      </c>
    </row>
    <row r="81">
      <c r="A81" s="335">
        <f>IF(Records!A81="","",Records!A81)</f>
        <v/>
      </c>
      <c r="B81" s="335">
        <f>IF(Records!B81="","",Records!B81)</f>
        <v/>
      </c>
      <c r="C81" s="336">
        <f>IF(Records!H81="","",Records!H81)</f>
        <v/>
      </c>
      <c r="D81" s="336">
        <f>IF(Records!F81="","",Records!F81)</f>
        <v/>
      </c>
      <c r="E81" s="337">
        <f>IF(AND(COUNTIFS(Participants!$A$3:$A$26,Records!A81,Participants!$V$3:$V$26,"是")=1,Records!AB81="是",Records!AC81="是",Records!AD81="是",COUNT(Records!K81,Records!L81,Records!M81,Records!O81,Records!P81,Records!Q81,Records!R81,Records!S81,Records!T81,Records!U81,Records!V81,Records!W81,Records!X81)=13),"是","否")</f>
        <v/>
      </c>
      <c r="F81" s="336">
        <f>IF(Records!K81="","",Records!K81)</f>
        <v/>
      </c>
      <c r="G81" s="336">
        <f>IF(Records!R81="","",Records!R81)</f>
        <v/>
      </c>
      <c r="H81" s="336">
        <f>IF(Records!L81="","",Records!L81)</f>
        <v/>
      </c>
      <c r="I81" s="336">
        <f>IF(Records!M81="","",Records!M81)</f>
        <v/>
      </c>
      <c r="J81" s="336">
        <f>IF(Records!Q81="","",Records!Q81)</f>
        <v/>
      </c>
      <c r="K81" s="336">
        <f>IF(Records!W81="","",Records!W81)</f>
        <v/>
      </c>
      <c r="L81" s="336">
        <f>IF(Records!X81="","",Records!X81)</f>
        <v/>
      </c>
      <c r="M81" s="336">
        <f>IF(COUNT(Records!S81,Records!T81,Records!U81)=3,AVERAGE(Records!S81,Records!T81,Records!U81),"")</f>
        <v/>
      </c>
      <c r="N81" s="336">
        <f>IF(COUNT(Records!V81,Records!O81,Records!P81)=3,AVERAGE(Records!V81,Records!O81,Records!P81),"")</f>
        <v/>
      </c>
      <c r="O81" s="336">
        <f>IF(Records!N81="","",Records!N81)</f>
        <v/>
      </c>
      <c r="P81" s="337">
        <f>IF(Records!AA81="","",IF(Records!AA81&gt;150,"是","否"))</f>
        <v/>
      </c>
      <c r="Q81" s="337">
        <f>IF(COUNT(Records!K81,Records!L81,Records!M81,Records!O81,Records!P81,Records!Q81,Records!R81,Records!S81,Records!T81,Records!U81,Records!V81,Records!W81,Records!X81)&lt;13,"",IF(OR(AND(Records!K81=Records!L81,Records!L81=Records!M81,Records!M81=Records!O81,Records!O81=Records!P81),AND(Records!L81=Records!M81,Records!M81=Records!O81,Records!O81=Records!P81,Records!P81=Records!Q81),AND(Records!M81=Records!O81,Records!O81=Records!P81,Records!P81=Records!Q81,Records!Q81=Records!R81),AND(Records!O81=Records!P81,Records!P81=Records!Q81,Records!Q81=Records!R81,Records!R81=Records!S81),AND(Records!P81=Records!Q81,Records!Q81=Records!R81,Records!R81=Records!S81,Records!S81=Records!T81),AND(Records!Q81=Records!R81,Records!R81=Records!S81,Records!S81=Records!T81,Records!T81=Records!U81),AND(Records!R81=Records!S81,Records!S81=Records!T81,Records!T81=Records!U81,Records!U81=Records!V81),AND(Records!S81=Records!T81,Records!T81=Records!U81,Records!U81=Records!V81,Records!V81=Records!W81),AND(Records!T81=Records!U81,Records!U81=Records!V81,Records!V81=Records!W81,Records!W81=Records!X81)),"是","否"))</f>
        <v/>
      </c>
      <c r="R81" s="336">
        <f>IF(Records!AF81="","",Records!AF81)</f>
        <v/>
      </c>
      <c r="S81" s="336">
        <f>IF(Records!AG81="","",Records!AG81)</f>
        <v/>
      </c>
      <c r="T81" s="336">
        <f>IF(Records!AH81="","",Records!AH81)</f>
        <v/>
      </c>
      <c r="U81" s="336">
        <f>IF(Records!AI81="","",Records!AI81)</f>
        <v/>
      </c>
      <c r="V81" s="336">
        <f>IF(Records!AJ81="","",Records!AJ81)</f>
        <v/>
      </c>
      <c r="W81" s="336">
        <f>IF(Records!AK81="","",Records!AK81)</f>
        <v/>
      </c>
      <c r="X81" s="336">
        <f>IF(Records!AL81="","",Records!AL81)</f>
        <v/>
      </c>
      <c r="Y81" s="336">
        <f>IF(Records!AM81="","",Records!AM81)</f>
        <v/>
      </c>
      <c r="Z81" s="336">
        <f>IF(Records!AN81="","",Records!AN81)</f>
        <v/>
      </c>
    </row>
    <row r="82">
      <c r="A82" s="335">
        <f>IF(Records!A82="","",Records!A82)</f>
        <v/>
      </c>
      <c r="B82" s="335">
        <f>IF(Records!B82="","",Records!B82)</f>
        <v/>
      </c>
      <c r="C82" s="336">
        <f>IF(Records!H82="","",Records!H82)</f>
        <v/>
      </c>
      <c r="D82" s="336">
        <f>IF(Records!F82="","",Records!F82)</f>
        <v/>
      </c>
      <c r="E82" s="337">
        <f>IF(AND(COUNTIFS(Participants!$A$3:$A$26,Records!A82,Participants!$V$3:$V$26,"是")=1,Records!AB82="是",Records!AC82="是",Records!AD82="是",COUNT(Records!K82,Records!L82,Records!M82,Records!O82,Records!P82,Records!Q82,Records!R82,Records!S82,Records!T82,Records!U82,Records!V82,Records!W82,Records!X82)=13),"是","否")</f>
        <v/>
      </c>
      <c r="F82" s="336">
        <f>IF(Records!K82="","",Records!K82)</f>
        <v/>
      </c>
      <c r="G82" s="336">
        <f>IF(Records!R82="","",Records!R82)</f>
        <v/>
      </c>
      <c r="H82" s="336">
        <f>IF(Records!L82="","",Records!L82)</f>
        <v/>
      </c>
      <c r="I82" s="336">
        <f>IF(Records!M82="","",Records!M82)</f>
        <v/>
      </c>
      <c r="J82" s="336">
        <f>IF(Records!Q82="","",Records!Q82)</f>
        <v/>
      </c>
      <c r="K82" s="336">
        <f>IF(Records!W82="","",Records!W82)</f>
        <v/>
      </c>
      <c r="L82" s="336">
        <f>IF(Records!X82="","",Records!X82)</f>
        <v/>
      </c>
      <c r="M82" s="336">
        <f>IF(COUNT(Records!S82,Records!T82,Records!U82)=3,AVERAGE(Records!S82,Records!T82,Records!U82),"")</f>
        <v/>
      </c>
      <c r="N82" s="336">
        <f>IF(COUNT(Records!V82,Records!O82,Records!P82)=3,AVERAGE(Records!V82,Records!O82,Records!P82),"")</f>
        <v/>
      </c>
      <c r="O82" s="336">
        <f>IF(Records!N82="","",Records!N82)</f>
        <v/>
      </c>
      <c r="P82" s="337">
        <f>IF(Records!AA82="","",IF(Records!AA82&gt;150,"是","否"))</f>
        <v/>
      </c>
      <c r="Q82" s="337">
        <f>IF(COUNT(Records!K82,Records!L82,Records!M82,Records!O82,Records!P82,Records!Q82,Records!R82,Records!S82,Records!T82,Records!U82,Records!V82,Records!W82,Records!X82)&lt;13,"",IF(OR(AND(Records!K82=Records!L82,Records!L82=Records!M82,Records!M82=Records!O82,Records!O82=Records!P82),AND(Records!L82=Records!M82,Records!M82=Records!O82,Records!O82=Records!P82,Records!P82=Records!Q82),AND(Records!M82=Records!O82,Records!O82=Records!P82,Records!P82=Records!Q82,Records!Q82=Records!R82),AND(Records!O82=Records!P82,Records!P82=Records!Q82,Records!Q82=Records!R82,Records!R82=Records!S82),AND(Records!P82=Records!Q82,Records!Q82=Records!R82,Records!R82=Records!S82,Records!S82=Records!T82),AND(Records!Q82=Records!R82,Records!R82=Records!S82,Records!S82=Records!T82,Records!T82=Records!U82),AND(Records!R82=Records!S82,Records!S82=Records!T82,Records!T82=Records!U82,Records!U82=Records!V82),AND(Records!S82=Records!T82,Records!T82=Records!U82,Records!U82=Records!V82,Records!V82=Records!W82),AND(Records!T82=Records!U82,Records!U82=Records!V82,Records!V82=Records!W82,Records!W82=Records!X82)),"是","否"))</f>
        <v/>
      </c>
      <c r="R82" s="336">
        <f>IF(Records!AF82="","",Records!AF82)</f>
        <v/>
      </c>
      <c r="S82" s="336">
        <f>IF(Records!AG82="","",Records!AG82)</f>
        <v/>
      </c>
      <c r="T82" s="336">
        <f>IF(Records!AH82="","",Records!AH82)</f>
        <v/>
      </c>
      <c r="U82" s="336">
        <f>IF(Records!AI82="","",Records!AI82)</f>
        <v/>
      </c>
      <c r="V82" s="336">
        <f>IF(Records!AJ82="","",Records!AJ82)</f>
        <v/>
      </c>
      <c r="W82" s="336">
        <f>IF(Records!AK82="","",Records!AK82)</f>
        <v/>
      </c>
      <c r="X82" s="336">
        <f>IF(Records!AL82="","",Records!AL82)</f>
        <v/>
      </c>
      <c r="Y82" s="336">
        <f>IF(Records!AM82="","",Records!AM82)</f>
        <v/>
      </c>
      <c r="Z82" s="336">
        <f>IF(Records!AN82="","",Records!AN82)</f>
        <v/>
      </c>
    </row>
    <row r="83">
      <c r="A83" s="335">
        <f>IF(Records!A83="","",Records!A83)</f>
        <v/>
      </c>
      <c r="B83" s="335">
        <f>IF(Records!B83="","",Records!B83)</f>
        <v/>
      </c>
      <c r="C83" s="336">
        <f>IF(Records!H83="","",Records!H83)</f>
        <v/>
      </c>
      <c r="D83" s="336">
        <f>IF(Records!F83="","",Records!F83)</f>
        <v/>
      </c>
      <c r="E83" s="337">
        <f>IF(AND(COUNTIFS(Participants!$A$3:$A$26,Records!A83,Participants!$V$3:$V$26,"是")=1,Records!AB83="是",Records!AC83="是",Records!AD83="是",COUNT(Records!K83,Records!L83,Records!M83,Records!O83,Records!P83,Records!Q83,Records!R83,Records!S83,Records!T83,Records!U83,Records!V83,Records!W83,Records!X83)=13),"是","否")</f>
        <v/>
      </c>
      <c r="F83" s="336">
        <f>IF(Records!K83="","",Records!K83)</f>
        <v/>
      </c>
      <c r="G83" s="336">
        <f>IF(Records!R83="","",Records!R83)</f>
        <v/>
      </c>
      <c r="H83" s="336">
        <f>IF(Records!L83="","",Records!L83)</f>
        <v/>
      </c>
      <c r="I83" s="336">
        <f>IF(Records!M83="","",Records!M83)</f>
        <v/>
      </c>
      <c r="J83" s="336">
        <f>IF(Records!Q83="","",Records!Q83)</f>
        <v/>
      </c>
      <c r="K83" s="336">
        <f>IF(Records!W83="","",Records!W83)</f>
        <v/>
      </c>
      <c r="L83" s="336">
        <f>IF(Records!X83="","",Records!X83)</f>
        <v/>
      </c>
      <c r="M83" s="336">
        <f>IF(COUNT(Records!S83,Records!T83,Records!U83)=3,AVERAGE(Records!S83,Records!T83,Records!U83),"")</f>
        <v/>
      </c>
      <c r="N83" s="336">
        <f>IF(COUNT(Records!V83,Records!O83,Records!P83)=3,AVERAGE(Records!V83,Records!O83,Records!P83),"")</f>
        <v/>
      </c>
      <c r="O83" s="336">
        <f>IF(Records!N83="","",Records!N83)</f>
        <v/>
      </c>
      <c r="P83" s="337">
        <f>IF(Records!AA83="","",IF(Records!AA83&gt;150,"是","否"))</f>
        <v/>
      </c>
      <c r="Q83" s="337">
        <f>IF(COUNT(Records!K83,Records!L83,Records!M83,Records!O83,Records!P83,Records!Q83,Records!R83,Records!S83,Records!T83,Records!U83,Records!V83,Records!W83,Records!X83)&lt;13,"",IF(OR(AND(Records!K83=Records!L83,Records!L83=Records!M83,Records!M83=Records!O83,Records!O83=Records!P83),AND(Records!L83=Records!M83,Records!M83=Records!O83,Records!O83=Records!P83,Records!P83=Records!Q83),AND(Records!M83=Records!O83,Records!O83=Records!P83,Records!P83=Records!Q83,Records!Q83=Records!R83),AND(Records!O83=Records!P83,Records!P83=Records!Q83,Records!Q83=Records!R83,Records!R83=Records!S83),AND(Records!P83=Records!Q83,Records!Q83=Records!R83,Records!R83=Records!S83,Records!S83=Records!T83),AND(Records!Q83=Records!R83,Records!R83=Records!S83,Records!S83=Records!T83,Records!T83=Records!U83),AND(Records!R83=Records!S83,Records!S83=Records!T83,Records!T83=Records!U83,Records!U83=Records!V83),AND(Records!S83=Records!T83,Records!T83=Records!U83,Records!U83=Records!V83,Records!V83=Records!W83),AND(Records!T83=Records!U83,Records!U83=Records!V83,Records!V83=Records!W83,Records!W83=Records!X83)),"是","否"))</f>
        <v/>
      </c>
      <c r="R83" s="336">
        <f>IF(Records!AF83="","",Records!AF83)</f>
        <v/>
      </c>
      <c r="S83" s="336">
        <f>IF(Records!AG83="","",Records!AG83)</f>
        <v/>
      </c>
      <c r="T83" s="336">
        <f>IF(Records!AH83="","",Records!AH83)</f>
        <v/>
      </c>
      <c r="U83" s="336">
        <f>IF(Records!AI83="","",Records!AI83)</f>
        <v/>
      </c>
      <c r="V83" s="336">
        <f>IF(Records!AJ83="","",Records!AJ83)</f>
        <v/>
      </c>
      <c r="W83" s="336">
        <f>IF(Records!AK83="","",Records!AK83)</f>
        <v/>
      </c>
      <c r="X83" s="336">
        <f>IF(Records!AL83="","",Records!AL83)</f>
        <v/>
      </c>
      <c r="Y83" s="336">
        <f>IF(Records!AM83="","",Records!AM83)</f>
        <v/>
      </c>
      <c r="Z83" s="336">
        <f>IF(Records!AN83="","",Records!AN83)</f>
        <v/>
      </c>
    </row>
    <row r="84">
      <c r="A84" s="335">
        <f>IF(Records!A84="","",Records!A84)</f>
        <v/>
      </c>
      <c r="B84" s="335">
        <f>IF(Records!B84="","",Records!B84)</f>
        <v/>
      </c>
      <c r="C84" s="336">
        <f>IF(Records!H84="","",Records!H84)</f>
        <v/>
      </c>
      <c r="D84" s="336">
        <f>IF(Records!F84="","",Records!F84)</f>
        <v/>
      </c>
      <c r="E84" s="337">
        <f>IF(AND(COUNTIFS(Participants!$A$3:$A$26,Records!A84,Participants!$V$3:$V$26,"是")=1,Records!AB84="是",Records!AC84="是",Records!AD84="是",COUNT(Records!K84,Records!L84,Records!M84,Records!O84,Records!P84,Records!Q84,Records!R84,Records!S84,Records!T84,Records!U84,Records!V84,Records!W84,Records!X84)=13),"是","否")</f>
        <v/>
      </c>
      <c r="F84" s="336">
        <f>IF(Records!K84="","",Records!K84)</f>
        <v/>
      </c>
      <c r="G84" s="336">
        <f>IF(Records!R84="","",Records!R84)</f>
        <v/>
      </c>
      <c r="H84" s="336">
        <f>IF(Records!L84="","",Records!L84)</f>
        <v/>
      </c>
      <c r="I84" s="336">
        <f>IF(Records!M84="","",Records!M84)</f>
        <v/>
      </c>
      <c r="J84" s="336">
        <f>IF(Records!Q84="","",Records!Q84)</f>
        <v/>
      </c>
      <c r="K84" s="336">
        <f>IF(Records!W84="","",Records!W84)</f>
        <v/>
      </c>
      <c r="L84" s="336">
        <f>IF(Records!X84="","",Records!X84)</f>
        <v/>
      </c>
      <c r="M84" s="336">
        <f>IF(COUNT(Records!S84,Records!T84,Records!U84)=3,AVERAGE(Records!S84,Records!T84,Records!U84),"")</f>
        <v/>
      </c>
      <c r="N84" s="336">
        <f>IF(COUNT(Records!V84,Records!O84,Records!P84)=3,AVERAGE(Records!V84,Records!O84,Records!P84),"")</f>
        <v/>
      </c>
      <c r="O84" s="336">
        <f>IF(Records!N84="","",Records!N84)</f>
        <v/>
      </c>
      <c r="P84" s="337">
        <f>IF(Records!AA84="","",IF(Records!AA84&gt;150,"是","否"))</f>
        <v/>
      </c>
      <c r="Q84" s="337">
        <f>IF(COUNT(Records!K84,Records!L84,Records!M84,Records!O84,Records!P84,Records!Q84,Records!R84,Records!S84,Records!T84,Records!U84,Records!V84,Records!W84,Records!X84)&lt;13,"",IF(OR(AND(Records!K84=Records!L84,Records!L84=Records!M84,Records!M84=Records!O84,Records!O84=Records!P84),AND(Records!L84=Records!M84,Records!M84=Records!O84,Records!O84=Records!P84,Records!P84=Records!Q84),AND(Records!M84=Records!O84,Records!O84=Records!P84,Records!P84=Records!Q84,Records!Q84=Records!R84),AND(Records!O84=Records!P84,Records!P84=Records!Q84,Records!Q84=Records!R84,Records!R84=Records!S84),AND(Records!P84=Records!Q84,Records!Q84=Records!R84,Records!R84=Records!S84,Records!S84=Records!T84),AND(Records!Q84=Records!R84,Records!R84=Records!S84,Records!S84=Records!T84,Records!T84=Records!U84),AND(Records!R84=Records!S84,Records!S84=Records!T84,Records!T84=Records!U84,Records!U84=Records!V84),AND(Records!S84=Records!T84,Records!T84=Records!U84,Records!U84=Records!V84,Records!V84=Records!W84),AND(Records!T84=Records!U84,Records!U84=Records!V84,Records!V84=Records!W84,Records!W84=Records!X84)),"是","否"))</f>
        <v/>
      </c>
      <c r="R84" s="336">
        <f>IF(Records!AF84="","",Records!AF84)</f>
        <v/>
      </c>
      <c r="S84" s="336">
        <f>IF(Records!AG84="","",Records!AG84)</f>
        <v/>
      </c>
      <c r="T84" s="336">
        <f>IF(Records!AH84="","",Records!AH84)</f>
        <v/>
      </c>
      <c r="U84" s="336">
        <f>IF(Records!AI84="","",Records!AI84)</f>
        <v/>
      </c>
      <c r="V84" s="336">
        <f>IF(Records!AJ84="","",Records!AJ84)</f>
        <v/>
      </c>
      <c r="W84" s="336">
        <f>IF(Records!AK84="","",Records!AK84)</f>
        <v/>
      </c>
      <c r="X84" s="336">
        <f>IF(Records!AL84="","",Records!AL84)</f>
        <v/>
      </c>
      <c r="Y84" s="336">
        <f>IF(Records!AM84="","",Records!AM84)</f>
        <v/>
      </c>
      <c r="Z84" s="336">
        <f>IF(Records!AN84="","",Records!AN84)</f>
        <v/>
      </c>
    </row>
    <row r="85">
      <c r="A85" s="335">
        <f>IF(Records!A85="","",Records!A85)</f>
        <v/>
      </c>
      <c r="B85" s="335">
        <f>IF(Records!B85="","",Records!B85)</f>
        <v/>
      </c>
      <c r="C85" s="336">
        <f>IF(Records!H85="","",Records!H85)</f>
        <v/>
      </c>
      <c r="D85" s="336">
        <f>IF(Records!F85="","",Records!F85)</f>
        <v/>
      </c>
      <c r="E85" s="337">
        <f>IF(AND(COUNTIFS(Participants!$A$3:$A$26,Records!A85,Participants!$V$3:$V$26,"是")=1,Records!AB85="是",Records!AC85="是",Records!AD85="是",COUNT(Records!K85,Records!L85,Records!M85,Records!O85,Records!P85,Records!Q85,Records!R85,Records!S85,Records!T85,Records!U85,Records!V85,Records!W85,Records!X85)=13),"是","否")</f>
        <v/>
      </c>
      <c r="F85" s="336">
        <f>IF(Records!K85="","",Records!K85)</f>
        <v/>
      </c>
      <c r="G85" s="336">
        <f>IF(Records!R85="","",Records!R85)</f>
        <v/>
      </c>
      <c r="H85" s="336">
        <f>IF(Records!L85="","",Records!L85)</f>
        <v/>
      </c>
      <c r="I85" s="336">
        <f>IF(Records!M85="","",Records!M85)</f>
        <v/>
      </c>
      <c r="J85" s="336">
        <f>IF(Records!Q85="","",Records!Q85)</f>
        <v/>
      </c>
      <c r="K85" s="336">
        <f>IF(Records!W85="","",Records!W85)</f>
        <v/>
      </c>
      <c r="L85" s="336">
        <f>IF(Records!X85="","",Records!X85)</f>
        <v/>
      </c>
      <c r="M85" s="336">
        <f>IF(COUNT(Records!S85,Records!T85,Records!U85)=3,AVERAGE(Records!S85,Records!T85,Records!U85),"")</f>
        <v/>
      </c>
      <c r="N85" s="336">
        <f>IF(COUNT(Records!V85,Records!O85,Records!P85)=3,AVERAGE(Records!V85,Records!O85,Records!P85),"")</f>
        <v/>
      </c>
      <c r="O85" s="336">
        <f>IF(Records!N85="","",Records!N85)</f>
        <v/>
      </c>
      <c r="P85" s="337">
        <f>IF(Records!AA85="","",IF(Records!AA85&gt;150,"是","否"))</f>
        <v/>
      </c>
      <c r="Q85" s="337">
        <f>IF(COUNT(Records!K85,Records!L85,Records!M85,Records!O85,Records!P85,Records!Q85,Records!R85,Records!S85,Records!T85,Records!U85,Records!V85,Records!W85,Records!X85)&lt;13,"",IF(OR(AND(Records!K85=Records!L85,Records!L85=Records!M85,Records!M85=Records!O85,Records!O85=Records!P85),AND(Records!L85=Records!M85,Records!M85=Records!O85,Records!O85=Records!P85,Records!P85=Records!Q85),AND(Records!M85=Records!O85,Records!O85=Records!P85,Records!P85=Records!Q85,Records!Q85=Records!R85),AND(Records!O85=Records!P85,Records!P85=Records!Q85,Records!Q85=Records!R85,Records!R85=Records!S85),AND(Records!P85=Records!Q85,Records!Q85=Records!R85,Records!R85=Records!S85,Records!S85=Records!T85),AND(Records!Q85=Records!R85,Records!R85=Records!S85,Records!S85=Records!T85,Records!T85=Records!U85),AND(Records!R85=Records!S85,Records!S85=Records!T85,Records!T85=Records!U85,Records!U85=Records!V85),AND(Records!S85=Records!T85,Records!T85=Records!U85,Records!U85=Records!V85,Records!V85=Records!W85),AND(Records!T85=Records!U85,Records!U85=Records!V85,Records!V85=Records!W85,Records!W85=Records!X85)),"是","否"))</f>
        <v/>
      </c>
      <c r="R85" s="336">
        <f>IF(Records!AF85="","",Records!AF85)</f>
        <v/>
      </c>
      <c r="S85" s="336">
        <f>IF(Records!AG85="","",Records!AG85)</f>
        <v/>
      </c>
      <c r="T85" s="336">
        <f>IF(Records!AH85="","",Records!AH85)</f>
        <v/>
      </c>
      <c r="U85" s="336">
        <f>IF(Records!AI85="","",Records!AI85)</f>
        <v/>
      </c>
      <c r="V85" s="336">
        <f>IF(Records!AJ85="","",Records!AJ85)</f>
        <v/>
      </c>
      <c r="W85" s="336">
        <f>IF(Records!AK85="","",Records!AK85)</f>
        <v/>
      </c>
      <c r="X85" s="336">
        <f>IF(Records!AL85="","",Records!AL85)</f>
        <v/>
      </c>
      <c r="Y85" s="336">
        <f>IF(Records!AM85="","",Records!AM85)</f>
        <v/>
      </c>
      <c r="Z85" s="336">
        <f>IF(Records!AN85="","",Records!AN85)</f>
        <v/>
      </c>
    </row>
    <row r="86">
      <c r="A86" s="335">
        <f>IF(Records!A86="","",Records!A86)</f>
        <v/>
      </c>
      <c r="B86" s="335">
        <f>IF(Records!B86="","",Records!B86)</f>
        <v/>
      </c>
      <c r="C86" s="336">
        <f>IF(Records!H86="","",Records!H86)</f>
        <v/>
      </c>
      <c r="D86" s="336">
        <f>IF(Records!F86="","",Records!F86)</f>
        <v/>
      </c>
      <c r="E86" s="337">
        <f>IF(AND(COUNTIFS(Participants!$A$3:$A$26,Records!A86,Participants!$V$3:$V$26,"是")=1,Records!AB86="是",Records!AC86="是",Records!AD86="是",COUNT(Records!K86,Records!L86,Records!M86,Records!O86,Records!P86,Records!Q86,Records!R86,Records!S86,Records!T86,Records!U86,Records!V86,Records!W86,Records!X86)=13),"是","否")</f>
        <v/>
      </c>
      <c r="F86" s="336">
        <f>IF(Records!K86="","",Records!K86)</f>
        <v/>
      </c>
      <c r="G86" s="336">
        <f>IF(Records!R86="","",Records!R86)</f>
        <v/>
      </c>
      <c r="H86" s="336">
        <f>IF(Records!L86="","",Records!L86)</f>
        <v/>
      </c>
      <c r="I86" s="336">
        <f>IF(Records!M86="","",Records!M86)</f>
        <v/>
      </c>
      <c r="J86" s="336">
        <f>IF(Records!Q86="","",Records!Q86)</f>
        <v/>
      </c>
      <c r="K86" s="336">
        <f>IF(Records!W86="","",Records!W86)</f>
        <v/>
      </c>
      <c r="L86" s="336">
        <f>IF(Records!X86="","",Records!X86)</f>
        <v/>
      </c>
      <c r="M86" s="336">
        <f>IF(COUNT(Records!S86,Records!T86,Records!U86)=3,AVERAGE(Records!S86,Records!T86,Records!U86),"")</f>
        <v/>
      </c>
      <c r="N86" s="336">
        <f>IF(COUNT(Records!V86,Records!O86,Records!P86)=3,AVERAGE(Records!V86,Records!O86,Records!P86),"")</f>
        <v/>
      </c>
      <c r="O86" s="336">
        <f>IF(Records!N86="","",Records!N86)</f>
        <v/>
      </c>
      <c r="P86" s="337">
        <f>IF(Records!AA86="","",IF(Records!AA86&gt;150,"是","否"))</f>
        <v/>
      </c>
      <c r="Q86" s="337">
        <f>IF(COUNT(Records!K86,Records!L86,Records!M86,Records!O86,Records!P86,Records!Q86,Records!R86,Records!S86,Records!T86,Records!U86,Records!V86,Records!W86,Records!X86)&lt;13,"",IF(OR(AND(Records!K86=Records!L86,Records!L86=Records!M86,Records!M86=Records!O86,Records!O86=Records!P86),AND(Records!L86=Records!M86,Records!M86=Records!O86,Records!O86=Records!P86,Records!P86=Records!Q86),AND(Records!M86=Records!O86,Records!O86=Records!P86,Records!P86=Records!Q86,Records!Q86=Records!R86),AND(Records!O86=Records!P86,Records!P86=Records!Q86,Records!Q86=Records!R86,Records!R86=Records!S86),AND(Records!P86=Records!Q86,Records!Q86=Records!R86,Records!R86=Records!S86,Records!S86=Records!T86),AND(Records!Q86=Records!R86,Records!R86=Records!S86,Records!S86=Records!T86,Records!T86=Records!U86),AND(Records!R86=Records!S86,Records!S86=Records!T86,Records!T86=Records!U86,Records!U86=Records!V86),AND(Records!S86=Records!T86,Records!T86=Records!U86,Records!U86=Records!V86,Records!V86=Records!W86),AND(Records!T86=Records!U86,Records!U86=Records!V86,Records!V86=Records!W86,Records!W86=Records!X86)),"是","否"))</f>
        <v/>
      </c>
      <c r="R86" s="336">
        <f>IF(Records!AF86="","",Records!AF86)</f>
        <v/>
      </c>
      <c r="S86" s="336">
        <f>IF(Records!AG86="","",Records!AG86)</f>
        <v/>
      </c>
      <c r="T86" s="336">
        <f>IF(Records!AH86="","",Records!AH86)</f>
        <v/>
      </c>
      <c r="U86" s="336">
        <f>IF(Records!AI86="","",Records!AI86)</f>
        <v/>
      </c>
      <c r="V86" s="336">
        <f>IF(Records!AJ86="","",Records!AJ86)</f>
        <v/>
      </c>
      <c r="W86" s="336">
        <f>IF(Records!AK86="","",Records!AK86)</f>
        <v/>
      </c>
      <c r="X86" s="336">
        <f>IF(Records!AL86="","",Records!AL86)</f>
        <v/>
      </c>
      <c r="Y86" s="336">
        <f>IF(Records!AM86="","",Records!AM86)</f>
        <v/>
      </c>
      <c r="Z86" s="336">
        <f>IF(Records!AN86="","",Records!AN86)</f>
        <v/>
      </c>
    </row>
    <row r="87">
      <c r="A87" s="335">
        <f>IF(Records!A87="","",Records!A87)</f>
        <v/>
      </c>
      <c r="B87" s="335">
        <f>IF(Records!B87="","",Records!B87)</f>
        <v/>
      </c>
      <c r="C87" s="336">
        <f>IF(Records!H87="","",Records!H87)</f>
        <v/>
      </c>
      <c r="D87" s="336">
        <f>IF(Records!F87="","",Records!F87)</f>
        <v/>
      </c>
      <c r="E87" s="337">
        <f>IF(AND(COUNTIFS(Participants!$A$3:$A$26,Records!A87,Participants!$V$3:$V$26,"是")=1,Records!AB87="是",Records!AC87="是",Records!AD87="是",COUNT(Records!K87,Records!L87,Records!M87,Records!O87,Records!P87,Records!Q87,Records!R87,Records!S87,Records!T87,Records!U87,Records!V87,Records!W87,Records!X87)=13),"是","否")</f>
        <v/>
      </c>
      <c r="F87" s="336">
        <f>IF(Records!K87="","",Records!K87)</f>
        <v/>
      </c>
      <c r="G87" s="336">
        <f>IF(Records!R87="","",Records!R87)</f>
        <v/>
      </c>
      <c r="H87" s="336">
        <f>IF(Records!L87="","",Records!L87)</f>
        <v/>
      </c>
      <c r="I87" s="336">
        <f>IF(Records!M87="","",Records!M87)</f>
        <v/>
      </c>
      <c r="J87" s="336">
        <f>IF(Records!Q87="","",Records!Q87)</f>
        <v/>
      </c>
      <c r="K87" s="336">
        <f>IF(Records!W87="","",Records!W87)</f>
        <v/>
      </c>
      <c r="L87" s="336">
        <f>IF(Records!X87="","",Records!X87)</f>
        <v/>
      </c>
      <c r="M87" s="336">
        <f>IF(COUNT(Records!S87,Records!T87,Records!U87)=3,AVERAGE(Records!S87,Records!T87,Records!U87),"")</f>
        <v/>
      </c>
      <c r="N87" s="336">
        <f>IF(COUNT(Records!V87,Records!O87,Records!P87)=3,AVERAGE(Records!V87,Records!O87,Records!P87),"")</f>
        <v/>
      </c>
      <c r="O87" s="336">
        <f>IF(Records!N87="","",Records!N87)</f>
        <v/>
      </c>
      <c r="P87" s="337">
        <f>IF(Records!AA87="","",IF(Records!AA87&gt;150,"是","否"))</f>
        <v/>
      </c>
      <c r="Q87" s="337">
        <f>IF(COUNT(Records!K87,Records!L87,Records!M87,Records!O87,Records!P87,Records!Q87,Records!R87,Records!S87,Records!T87,Records!U87,Records!V87,Records!W87,Records!X87)&lt;13,"",IF(OR(AND(Records!K87=Records!L87,Records!L87=Records!M87,Records!M87=Records!O87,Records!O87=Records!P87),AND(Records!L87=Records!M87,Records!M87=Records!O87,Records!O87=Records!P87,Records!P87=Records!Q87),AND(Records!M87=Records!O87,Records!O87=Records!P87,Records!P87=Records!Q87,Records!Q87=Records!R87),AND(Records!O87=Records!P87,Records!P87=Records!Q87,Records!Q87=Records!R87,Records!R87=Records!S87),AND(Records!P87=Records!Q87,Records!Q87=Records!R87,Records!R87=Records!S87,Records!S87=Records!T87),AND(Records!Q87=Records!R87,Records!R87=Records!S87,Records!S87=Records!T87,Records!T87=Records!U87),AND(Records!R87=Records!S87,Records!S87=Records!T87,Records!T87=Records!U87,Records!U87=Records!V87),AND(Records!S87=Records!T87,Records!T87=Records!U87,Records!U87=Records!V87,Records!V87=Records!W87),AND(Records!T87=Records!U87,Records!U87=Records!V87,Records!V87=Records!W87,Records!W87=Records!X87)),"是","否"))</f>
        <v/>
      </c>
      <c r="R87" s="336">
        <f>IF(Records!AF87="","",Records!AF87)</f>
        <v/>
      </c>
      <c r="S87" s="336">
        <f>IF(Records!AG87="","",Records!AG87)</f>
        <v/>
      </c>
      <c r="T87" s="336">
        <f>IF(Records!AH87="","",Records!AH87)</f>
        <v/>
      </c>
      <c r="U87" s="336">
        <f>IF(Records!AI87="","",Records!AI87)</f>
        <v/>
      </c>
      <c r="V87" s="336">
        <f>IF(Records!AJ87="","",Records!AJ87)</f>
        <v/>
      </c>
      <c r="W87" s="336">
        <f>IF(Records!AK87="","",Records!AK87)</f>
        <v/>
      </c>
      <c r="X87" s="336">
        <f>IF(Records!AL87="","",Records!AL87)</f>
        <v/>
      </c>
      <c r="Y87" s="336">
        <f>IF(Records!AM87="","",Records!AM87)</f>
        <v/>
      </c>
      <c r="Z87" s="336">
        <f>IF(Records!AN87="","",Records!AN87)</f>
        <v/>
      </c>
    </row>
    <row r="88">
      <c r="A88" s="335">
        <f>IF(Records!A88="","",Records!A88)</f>
        <v/>
      </c>
      <c r="B88" s="335">
        <f>IF(Records!B88="","",Records!B88)</f>
        <v/>
      </c>
      <c r="C88" s="336">
        <f>IF(Records!H88="","",Records!H88)</f>
        <v/>
      </c>
      <c r="D88" s="336">
        <f>IF(Records!F88="","",Records!F88)</f>
        <v/>
      </c>
      <c r="E88" s="337">
        <f>IF(AND(COUNTIFS(Participants!$A$3:$A$26,Records!A88,Participants!$V$3:$V$26,"是")=1,Records!AB88="是",Records!AC88="是",Records!AD88="是",COUNT(Records!K88,Records!L88,Records!M88,Records!O88,Records!P88,Records!Q88,Records!R88,Records!S88,Records!T88,Records!U88,Records!V88,Records!W88,Records!X88)=13),"是","否")</f>
        <v/>
      </c>
      <c r="F88" s="336">
        <f>IF(Records!K88="","",Records!K88)</f>
        <v/>
      </c>
      <c r="G88" s="336">
        <f>IF(Records!R88="","",Records!R88)</f>
        <v/>
      </c>
      <c r="H88" s="336">
        <f>IF(Records!L88="","",Records!L88)</f>
        <v/>
      </c>
      <c r="I88" s="336">
        <f>IF(Records!M88="","",Records!M88)</f>
        <v/>
      </c>
      <c r="J88" s="336">
        <f>IF(Records!Q88="","",Records!Q88)</f>
        <v/>
      </c>
      <c r="K88" s="336">
        <f>IF(Records!W88="","",Records!W88)</f>
        <v/>
      </c>
      <c r="L88" s="336">
        <f>IF(Records!X88="","",Records!X88)</f>
        <v/>
      </c>
      <c r="M88" s="336">
        <f>IF(COUNT(Records!S88,Records!T88,Records!U88)=3,AVERAGE(Records!S88,Records!T88,Records!U88),"")</f>
        <v/>
      </c>
      <c r="N88" s="336">
        <f>IF(COUNT(Records!V88,Records!O88,Records!P88)=3,AVERAGE(Records!V88,Records!O88,Records!P88),"")</f>
        <v/>
      </c>
      <c r="O88" s="336">
        <f>IF(Records!N88="","",Records!N88)</f>
        <v/>
      </c>
      <c r="P88" s="337">
        <f>IF(Records!AA88="","",IF(Records!AA88&gt;150,"是","否"))</f>
        <v/>
      </c>
      <c r="Q88" s="337">
        <f>IF(COUNT(Records!K88,Records!L88,Records!M88,Records!O88,Records!P88,Records!Q88,Records!R88,Records!S88,Records!T88,Records!U88,Records!V88,Records!W88,Records!X88)&lt;13,"",IF(OR(AND(Records!K88=Records!L88,Records!L88=Records!M88,Records!M88=Records!O88,Records!O88=Records!P88),AND(Records!L88=Records!M88,Records!M88=Records!O88,Records!O88=Records!P88,Records!P88=Records!Q88),AND(Records!M88=Records!O88,Records!O88=Records!P88,Records!P88=Records!Q88,Records!Q88=Records!R88),AND(Records!O88=Records!P88,Records!P88=Records!Q88,Records!Q88=Records!R88,Records!R88=Records!S88),AND(Records!P88=Records!Q88,Records!Q88=Records!R88,Records!R88=Records!S88,Records!S88=Records!T88),AND(Records!Q88=Records!R88,Records!R88=Records!S88,Records!S88=Records!T88,Records!T88=Records!U88),AND(Records!R88=Records!S88,Records!S88=Records!T88,Records!T88=Records!U88,Records!U88=Records!V88),AND(Records!S88=Records!T88,Records!T88=Records!U88,Records!U88=Records!V88,Records!V88=Records!W88),AND(Records!T88=Records!U88,Records!U88=Records!V88,Records!V88=Records!W88,Records!W88=Records!X88)),"是","否"))</f>
        <v/>
      </c>
      <c r="R88" s="336">
        <f>IF(Records!AF88="","",Records!AF88)</f>
        <v/>
      </c>
      <c r="S88" s="336">
        <f>IF(Records!AG88="","",Records!AG88)</f>
        <v/>
      </c>
      <c r="T88" s="336">
        <f>IF(Records!AH88="","",Records!AH88)</f>
        <v/>
      </c>
      <c r="U88" s="336">
        <f>IF(Records!AI88="","",Records!AI88)</f>
        <v/>
      </c>
      <c r="V88" s="336">
        <f>IF(Records!AJ88="","",Records!AJ88)</f>
        <v/>
      </c>
      <c r="W88" s="336">
        <f>IF(Records!AK88="","",Records!AK88)</f>
        <v/>
      </c>
      <c r="X88" s="336">
        <f>IF(Records!AL88="","",Records!AL88)</f>
        <v/>
      </c>
      <c r="Y88" s="336">
        <f>IF(Records!AM88="","",Records!AM88)</f>
        <v/>
      </c>
      <c r="Z88" s="336">
        <f>IF(Records!AN88="","",Records!AN88)</f>
        <v/>
      </c>
    </row>
    <row r="89">
      <c r="A89" s="335">
        <f>IF(Records!A89="","",Records!A89)</f>
        <v/>
      </c>
      <c r="B89" s="335">
        <f>IF(Records!B89="","",Records!B89)</f>
        <v/>
      </c>
      <c r="C89" s="336">
        <f>IF(Records!H89="","",Records!H89)</f>
        <v/>
      </c>
      <c r="D89" s="336">
        <f>IF(Records!F89="","",Records!F89)</f>
        <v/>
      </c>
      <c r="E89" s="337">
        <f>IF(AND(COUNTIFS(Participants!$A$3:$A$26,Records!A89,Participants!$V$3:$V$26,"是")=1,Records!AB89="是",Records!AC89="是",Records!AD89="是",COUNT(Records!K89,Records!L89,Records!M89,Records!O89,Records!P89,Records!Q89,Records!R89,Records!S89,Records!T89,Records!U89,Records!V89,Records!W89,Records!X89)=13),"是","否")</f>
        <v/>
      </c>
      <c r="F89" s="336">
        <f>IF(Records!K89="","",Records!K89)</f>
        <v/>
      </c>
      <c r="G89" s="336">
        <f>IF(Records!R89="","",Records!R89)</f>
        <v/>
      </c>
      <c r="H89" s="336">
        <f>IF(Records!L89="","",Records!L89)</f>
        <v/>
      </c>
      <c r="I89" s="336">
        <f>IF(Records!M89="","",Records!M89)</f>
        <v/>
      </c>
      <c r="J89" s="336">
        <f>IF(Records!Q89="","",Records!Q89)</f>
        <v/>
      </c>
      <c r="K89" s="336">
        <f>IF(Records!W89="","",Records!W89)</f>
        <v/>
      </c>
      <c r="L89" s="336">
        <f>IF(Records!X89="","",Records!X89)</f>
        <v/>
      </c>
      <c r="M89" s="336">
        <f>IF(COUNT(Records!S89,Records!T89,Records!U89)=3,AVERAGE(Records!S89,Records!T89,Records!U89),"")</f>
        <v/>
      </c>
      <c r="N89" s="336">
        <f>IF(COUNT(Records!V89,Records!O89,Records!P89)=3,AVERAGE(Records!V89,Records!O89,Records!P89),"")</f>
        <v/>
      </c>
      <c r="O89" s="336">
        <f>IF(Records!N89="","",Records!N89)</f>
        <v/>
      </c>
      <c r="P89" s="337">
        <f>IF(Records!AA89="","",IF(Records!AA89&gt;150,"是","否"))</f>
        <v/>
      </c>
      <c r="Q89" s="337">
        <f>IF(COUNT(Records!K89,Records!L89,Records!M89,Records!O89,Records!P89,Records!Q89,Records!R89,Records!S89,Records!T89,Records!U89,Records!V89,Records!W89,Records!X89)&lt;13,"",IF(OR(AND(Records!K89=Records!L89,Records!L89=Records!M89,Records!M89=Records!O89,Records!O89=Records!P89),AND(Records!L89=Records!M89,Records!M89=Records!O89,Records!O89=Records!P89,Records!P89=Records!Q89),AND(Records!M89=Records!O89,Records!O89=Records!P89,Records!P89=Records!Q89,Records!Q89=Records!R89),AND(Records!O89=Records!P89,Records!P89=Records!Q89,Records!Q89=Records!R89,Records!R89=Records!S89),AND(Records!P89=Records!Q89,Records!Q89=Records!R89,Records!R89=Records!S89,Records!S89=Records!T89),AND(Records!Q89=Records!R89,Records!R89=Records!S89,Records!S89=Records!T89,Records!T89=Records!U89),AND(Records!R89=Records!S89,Records!S89=Records!T89,Records!T89=Records!U89,Records!U89=Records!V89),AND(Records!S89=Records!T89,Records!T89=Records!U89,Records!U89=Records!V89,Records!V89=Records!W89),AND(Records!T89=Records!U89,Records!U89=Records!V89,Records!V89=Records!W89,Records!W89=Records!X89)),"是","否"))</f>
        <v/>
      </c>
      <c r="R89" s="336">
        <f>IF(Records!AF89="","",Records!AF89)</f>
        <v/>
      </c>
      <c r="S89" s="336">
        <f>IF(Records!AG89="","",Records!AG89)</f>
        <v/>
      </c>
      <c r="T89" s="336">
        <f>IF(Records!AH89="","",Records!AH89)</f>
        <v/>
      </c>
      <c r="U89" s="336">
        <f>IF(Records!AI89="","",Records!AI89)</f>
        <v/>
      </c>
      <c r="V89" s="336">
        <f>IF(Records!AJ89="","",Records!AJ89)</f>
        <v/>
      </c>
      <c r="W89" s="336">
        <f>IF(Records!AK89="","",Records!AK89)</f>
        <v/>
      </c>
      <c r="X89" s="336">
        <f>IF(Records!AL89="","",Records!AL89)</f>
        <v/>
      </c>
      <c r="Y89" s="336">
        <f>IF(Records!AM89="","",Records!AM89)</f>
        <v/>
      </c>
      <c r="Z89" s="336">
        <f>IF(Records!AN89="","",Records!AN89)</f>
        <v/>
      </c>
    </row>
    <row r="90">
      <c r="A90" s="335">
        <f>IF(Records!A90="","",Records!A90)</f>
        <v/>
      </c>
      <c r="B90" s="335">
        <f>IF(Records!B90="","",Records!B90)</f>
        <v/>
      </c>
      <c r="C90" s="336">
        <f>IF(Records!H90="","",Records!H90)</f>
        <v/>
      </c>
      <c r="D90" s="336">
        <f>IF(Records!F90="","",Records!F90)</f>
        <v/>
      </c>
      <c r="E90" s="337">
        <f>IF(AND(COUNTIFS(Participants!$A$3:$A$26,Records!A90,Participants!$V$3:$V$26,"是")=1,Records!AB90="是",Records!AC90="是",Records!AD90="是",COUNT(Records!K90,Records!L90,Records!M90,Records!O90,Records!P90,Records!Q90,Records!R90,Records!S90,Records!T90,Records!U90,Records!V90,Records!W90,Records!X90)=13),"是","否")</f>
        <v/>
      </c>
      <c r="F90" s="336">
        <f>IF(Records!K90="","",Records!K90)</f>
        <v/>
      </c>
      <c r="G90" s="336">
        <f>IF(Records!R90="","",Records!R90)</f>
        <v/>
      </c>
      <c r="H90" s="336">
        <f>IF(Records!L90="","",Records!L90)</f>
        <v/>
      </c>
      <c r="I90" s="336">
        <f>IF(Records!M90="","",Records!M90)</f>
        <v/>
      </c>
      <c r="J90" s="336">
        <f>IF(Records!Q90="","",Records!Q90)</f>
        <v/>
      </c>
      <c r="K90" s="336">
        <f>IF(Records!W90="","",Records!W90)</f>
        <v/>
      </c>
      <c r="L90" s="336">
        <f>IF(Records!X90="","",Records!X90)</f>
        <v/>
      </c>
      <c r="M90" s="336">
        <f>IF(COUNT(Records!S90,Records!T90,Records!U90)=3,AVERAGE(Records!S90,Records!T90,Records!U90),"")</f>
        <v/>
      </c>
      <c r="N90" s="336">
        <f>IF(COUNT(Records!V90,Records!O90,Records!P90)=3,AVERAGE(Records!V90,Records!O90,Records!P90),"")</f>
        <v/>
      </c>
      <c r="O90" s="336">
        <f>IF(Records!N90="","",Records!N90)</f>
        <v/>
      </c>
      <c r="P90" s="337">
        <f>IF(Records!AA90="","",IF(Records!AA90&gt;150,"是","否"))</f>
        <v/>
      </c>
      <c r="Q90" s="337">
        <f>IF(COUNT(Records!K90,Records!L90,Records!M90,Records!O90,Records!P90,Records!Q90,Records!R90,Records!S90,Records!T90,Records!U90,Records!V90,Records!W90,Records!X90)&lt;13,"",IF(OR(AND(Records!K90=Records!L90,Records!L90=Records!M90,Records!M90=Records!O90,Records!O90=Records!P90),AND(Records!L90=Records!M90,Records!M90=Records!O90,Records!O90=Records!P90,Records!P90=Records!Q90),AND(Records!M90=Records!O90,Records!O90=Records!P90,Records!P90=Records!Q90,Records!Q90=Records!R90),AND(Records!O90=Records!P90,Records!P90=Records!Q90,Records!Q90=Records!R90,Records!R90=Records!S90),AND(Records!P90=Records!Q90,Records!Q90=Records!R90,Records!R90=Records!S90,Records!S90=Records!T90),AND(Records!Q90=Records!R90,Records!R90=Records!S90,Records!S90=Records!T90,Records!T90=Records!U90),AND(Records!R90=Records!S90,Records!S90=Records!T90,Records!T90=Records!U90,Records!U90=Records!V90),AND(Records!S90=Records!T90,Records!T90=Records!U90,Records!U90=Records!V90,Records!V90=Records!W90),AND(Records!T90=Records!U90,Records!U90=Records!V90,Records!V90=Records!W90,Records!W90=Records!X90)),"是","否"))</f>
        <v/>
      </c>
      <c r="R90" s="336">
        <f>IF(Records!AF90="","",Records!AF90)</f>
        <v/>
      </c>
      <c r="S90" s="336">
        <f>IF(Records!AG90="","",Records!AG90)</f>
        <v/>
      </c>
      <c r="T90" s="336">
        <f>IF(Records!AH90="","",Records!AH90)</f>
        <v/>
      </c>
      <c r="U90" s="336">
        <f>IF(Records!AI90="","",Records!AI90)</f>
        <v/>
      </c>
      <c r="V90" s="336">
        <f>IF(Records!AJ90="","",Records!AJ90)</f>
        <v/>
      </c>
      <c r="W90" s="336">
        <f>IF(Records!AK90="","",Records!AK90)</f>
        <v/>
      </c>
      <c r="X90" s="336">
        <f>IF(Records!AL90="","",Records!AL90)</f>
        <v/>
      </c>
      <c r="Y90" s="336">
        <f>IF(Records!AM90="","",Records!AM90)</f>
        <v/>
      </c>
      <c r="Z90" s="336">
        <f>IF(Records!AN90="","",Records!AN90)</f>
        <v/>
      </c>
    </row>
    <row r="91">
      <c r="A91" s="335">
        <f>IF(Records!A91="","",Records!A91)</f>
        <v/>
      </c>
      <c r="B91" s="335">
        <f>IF(Records!B91="","",Records!B91)</f>
        <v/>
      </c>
      <c r="C91" s="336">
        <f>IF(Records!H91="","",Records!H91)</f>
        <v/>
      </c>
      <c r="D91" s="336">
        <f>IF(Records!F91="","",Records!F91)</f>
        <v/>
      </c>
      <c r="E91" s="337">
        <f>IF(AND(COUNTIFS(Participants!$A$3:$A$26,Records!A91,Participants!$V$3:$V$26,"是")=1,Records!AB91="是",Records!AC91="是",Records!AD91="是",COUNT(Records!K91,Records!L91,Records!M91,Records!O91,Records!P91,Records!Q91,Records!R91,Records!S91,Records!T91,Records!U91,Records!V91,Records!W91,Records!X91)=13),"是","否")</f>
        <v/>
      </c>
      <c r="F91" s="336">
        <f>IF(Records!K91="","",Records!K91)</f>
        <v/>
      </c>
      <c r="G91" s="336">
        <f>IF(Records!R91="","",Records!R91)</f>
        <v/>
      </c>
      <c r="H91" s="336">
        <f>IF(Records!L91="","",Records!L91)</f>
        <v/>
      </c>
      <c r="I91" s="336">
        <f>IF(Records!M91="","",Records!M91)</f>
        <v/>
      </c>
      <c r="J91" s="336">
        <f>IF(Records!Q91="","",Records!Q91)</f>
        <v/>
      </c>
      <c r="K91" s="336">
        <f>IF(Records!W91="","",Records!W91)</f>
        <v/>
      </c>
      <c r="L91" s="336">
        <f>IF(Records!X91="","",Records!X91)</f>
        <v/>
      </c>
      <c r="M91" s="336">
        <f>IF(COUNT(Records!S91,Records!T91,Records!U91)=3,AVERAGE(Records!S91,Records!T91,Records!U91),"")</f>
        <v/>
      </c>
      <c r="N91" s="336">
        <f>IF(COUNT(Records!V91,Records!O91,Records!P91)=3,AVERAGE(Records!V91,Records!O91,Records!P91),"")</f>
        <v/>
      </c>
      <c r="O91" s="336">
        <f>IF(Records!N91="","",Records!N91)</f>
        <v/>
      </c>
      <c r="P91" s="337">
        <f>IF(Records!AA91="","",IF(Records!AA91&gt;150,"是","否"))</f>
        <v/>
      </c>
      <c r="Q91" s="337">
        <f>IF(COUNT(Records!K91,Records!L91,Records!M91,Records!O91,Records!P91,Records!Q91,Records!R91,Records!S91,Records!T91,Records!U91,Records!V91,Records!W91,Records!X91)&lt;13,"",IF(OR(AND(Records!K91=Records!L91,Records!L91=Records!M91,Records!M91=Records!O91,Records!O91=Records!P91),AND(Records!L91=Records!M91,Records!M91=Records!O91,Records!O91=Records!P91,Records!P91=Records!Q91),AND(Records!M91=Records!O91,Records!O91=Records!P91,Records!P91=Records!Q91,Records!Q91=Records!R91),AND(Records!O91=Records!P91,Records!P91=Records!Q91,Records!Q91=Records!R91,Records!R91=Records!S91),AND(Records!P91=Records!Q91,Records!Q91=Records!R91,Records!R91=Records!S91,Records!S91=Records!T91),AND(Records!Q91=Records!R91,Records!R91=Records!S91,Records!S91=Records!T91,Records!T91=Records!U91),AND(Records!R91=Records!S91,Records!S91=Records!T91,Records!T91=Records!U91,Records!U91=Records!V91),AND(Records!S91=Records!T91,Records!T91=Records!U91,Records!U91=Records!V91,Records!V91=Records!W91),AND(Records!T91=Records!U91,Records!U91=Records!V91,Records!V91=Records!W91,Records!W91=Records!X91)),"是","否"))</f>
        <v/>
      </c>
      <c r="R91" s="336">
        <f>IF(Records!AF91="","",Records!AF91)</f>
        <v/>
      </c>
      <c r="S91" s="336">
        <f>IF(Records!AG91="","",Records!AG91)</f>
        <v/>
      </c>
      <c r="T91" s="336">
        <f>IF(Records!AH91="","",Records!AH91)</f>
        <v/>
      </c>
      <c r="U91" s="336">
        <f>IF(Records!AI91="","",Records!AI91)</f>
        <v/>
      </c>
      <c r="V91" s="336">
        <f>IF(Records!AJ91="","",Records!AJ91)</f>
        <v/>
      </c>
      <c r="W91" s="336">
        <f>IF(Records!AK91="","",Records!AK91)</f>
        <v/>
      </c>
      <c r="X91" s="336">
        <f>IF(Records!AL91="","",Records!AL91)</f>
        <v/>
      </c>
      <c r="Y91" s="336">
        <f>IF(Records!AM91="","",Records!AM91)</f>
        <v/>
      </c>
      <c r="Z91" s="336">
        <f>IF(Records!AN91="","",Records!AN91)</f>
        <v/>
      </c>
    </row>
    <row r="92">
      <c r="A92" s="335">
        <f>IF(Records!A92="","",Records!A92)</f>
        <v/>
      </c>
      <c r="B92" s="335">
        <f>IF(Records!B92="","",Records!B92)</f>
        <v/>
      </c>
      <c r="C92" s="336">
        <f>IF(Records!H92="","",Records!H92)</f>
        <v/>
      </c>
      <c r="D92" s="336">
        <f>IF(Records!F92="","",Records!F92)</f>
        <v/>
      </c>
      <c r="E92" s="337">
        <f>IF(AND(COUNTIFS(Participants!$A$3:$A$26,Records!A92,Participants!$V$3:$V$26,"是")=1,Records!AB92="是",Records!AC92="是",Records!AD92="是",COUNT(Records!K92,Records!L92,Records!M92,Records!O92,Records!P92,Records!Q92,Records!R92,Records!S92,Records!T92,Records!U92,Records!V92,Records!W92,Records!X92)=13),"是","否")</f>
        <v/>
      </c>
      <c r="F92" s="336">
        <f>IF(Records!K92="","",Records!K92)</f>
        <v/>
      </c>
      <c r="G92" s="336">
        <f>IF(Records!R92="","",Records!R92)</f>
        <v/>
      </c>
      <c r="H92" s="336">
        <f>IF(Records!L92="","",Records!L92)</f>
        <v/>
      </c>
      <c r="I92" s="336">
        <f>IF(Records!M92="","",Records!M92)</f>
        <v/>
      </c>
      <c r="J92" s="336">
        <f>IF(Records!Q92="","",Records!Q92)</f>
        <v/>
      </c>
      <c r="K92" s="336">
        <f>IF(Records!W92="","",Records!W92)</f>
        <v/>
      </c>
      <c r="L92" s="336">
        <f>IF(Records!X92="","",Records!X92)</f>
        <v/>
      </c>
      <c r="M92" s="336">
        <f>IF(COUNT(Records!S92,Records!T92,Records!U92)=3,AVERAGE(Records!S92,Records!T92,Records!U92),"")</f>
        <v/>
      </c>
      <c r="N92" s="336">
        <f>IF(COUNT(Records!V92,Records!O92,Records!P92)=3,AVERAGE(Records!V92,Records!O92,Records!P92),"")</f>
        <v/>
      </c>
      <c r="O92" s="336">
        <f>IF(Records!N92="","",Records!N92)</f>
        <v/>
      </c>
      <c r="P92" s="337">
        <f>IF(Records!AA92="","",IF(Records!AA92&gt;150,"是","否"))</f>
        <v/>
      </c>
      <c r="Q92" s="337">
        <f>IF(COUNT(Records!K92,Records!L92,Records!M92,Records!O92,Records!P92,Records!Q92,Records!R92,Records!S92,Records!T92,Records!U92,Records!V92,Records!W92,Records!X92)&lt;13,"",IF(OR(AND(Records!K92=Records!L92,Records!L92=Records!M92,Records!M92=Records!O92,Records!O92=Records!P92),AND(Records!L92=Records!M92,Records!M92=Records!O92,Records!O92=Records!P92,Records!P92=Records!Q92),AND(Records!M92=Records!O92,Records!O92=Records!P92,Records!P92=Records!Q92,Records!Q92=Records!R92),AND(Records!O92=Records!P92,Records!P92=Records!Q92,Records!Q92=Records!R92,Records!R92=Records!S92),AND(Records!P92=Records!Q92,Records!Q92=Records!R92,Records!R92=Records!S92,Records!S92=Records!T92),AND(Records!Q92=Records!R92,Records!R92=Records!S92,Records!S92=Records!T92,Records!T92=Records!U92),AND(Records!R92=Records!S92,Records!S92=Records!T92,Records!T92=Records!U92,Records!U92=Records!V92),AND(Records!S92=Records!T92,Records!T92=Records!U92,Records!U92=Records!V92,Records!V92=Records!W92),AND(Records!T92=Records!U92,Records!U92=Records!V92,Records!V92=Records!W92,Records!W92=Records!X92)),"是","否"))</f>
        <v/>
      </c>
      <c r="R92" s="336">
        <f>IF(Records!AF92="","",Records!AF92)</f>
        <v/>
      </c>
      <c r="S92" s="336">
        <f>IF(Records!AG92="","",Records!AG92)</f>
        <v/>
      </c>
      <c r="T92" s="336">
        <f>IF(Records!AH92="","",Records!AH92)</f>
        <v/>
      </c>
      <c r="U92" s="336">
        <f>IF(Records!AI92="","",Records!AI92)</f>
        <v/>
      </c>
      <c r="V92" s="336">
        <f>IF(Records!AJ92="","",Records!AJ92)</f>
        <v/>
      </c>
      <c r="W92" s="336">
        <f>IF(Records!AK92="","",Records!AK92)</f>
        <v/>
      </c>
      <c r="X92" s="336">
        <f>IF(Records!AL92="","",Records!AL92)</f>
        <v/>
      </c>
      <c r="Y92" s="336">
        <f>IF(Records!AM92="","",Records!AM92)</f>
        <v/>
      </c>
      <c r="Z92" s="336">
        <f>IF(Records!AN92="","",Records!AN92)</f>
        <v/>
      </c>
    </row>
    <row r="93">
      <c r="A93" s="335">
        <f>IF(Records!A93="","",Records!A93)</f>
        <v/>
      </c>
      <c r="B93" s="335">
        <f>IF(Records!B93="","",Records!B93)</f>
        <v/>
      </c>
      <c r="C93" s="336">
        <f>IF(Records!H93="","",Records!H93)</f>
        <v/>
      </c>
      <c r="D93" s="336">
        <f>IF(Records!F93="","",Records!F93)</f>
        <v/>
      </c>
      <c r="E93" s="337">
        <f>IF(AND(COUNTIFS(Participants!$A$3:$A$26,Records!A93,Participants!$V$3:$V$26,"是")=1,Records!AB93="是",Records!AC93="是",Records!AD93="是",COUNT(Records!K93,Records!L93,Records!M93,Records!O93,Records!P93,Records!Q93,Records!R93,Records!S93,Records!T93,Records!U93,Records!V93,Records!W93,Records!X93)=13),"是","否")</f>
        <v/>
      </c>
      <c r="F93" s="336">
        <f>IF(Records!K93="","",Records!K93)</f>
        <v/>
      </c>
      <c r="G93" s="336">
        <f>IF(Records!R93="","",Records!R93)</f>
        <v/>
      </c>
      <c r="H93" s="336">
        <f>IF(Records!L93="","",Records!L93)</f>
        <v/>
      </c>
      <c r="I93" s="336">
        <f>IF(Records!M93="","",Records!M93)</f>
        <v/>
      </c>
      <c r="J93" s="336">
        <f>IF(Records!Q93="","",Records!Q93)</f>
        <v/>
      </c>
      <c r="K93" s="336">
        <f>IF(Records!W93="","",Records!W93)</f>
        <v/>
      </c>
      <c r="L93" s="336">
        <f>IF(Records!X93="","",Records!X93)</f>
        <v/>
      </c>
      <c r="M93" s="336">
        <f>IF(COUNT(Records!S93,Records!T93,Records!U93)=3,AVERAGE(Records!S93,Records!T93,Records!U93),"")</f>
        <v/>
      </c>
      <c r="N93" s="336">
        <f>IF(COUNT(Records!V93,Records!O93,Records!P93)=3,AVERAGE(Records!V93,Records!O93,Records!P93),"")</f>
        <v/>
      </c>
      <c r="O93" s="336">
        <f>IF(Records!N93="","",Records!N93)</f>
        <v/>
      </c>
      <c r="P93" s="337">
        <f>IF(Records!AA93="","",IF(Records!AA93&gt;150,"是","否"))</f>
        <v/>
      </c>
      <c r="Q93" s="337">
        <f>IF(COUNT(Records!K93,Records!L93,Records!M93,Records!O93,Records!P93,Records!Q93,Records!R93,Records!S93,Records!T93,Records!U93,Records!V93,Records!W93,Records!X93)&lt;13,"",IF(OR(AND(Records!K93=Records!L93,Records!L93=Records!M93,Records!M93=Records!O93,Records!O93=Records!P93),AND(Records!L93=Records!M93,Records!M93=Records!O93,Records!O93=Records!P93,Records!P93=Records!Q93),AND(Records!M93=Records!O93,Records!O93=Records!P93,Records!P93=Records!Q93,Records!Q93=Records!R93),AND(Records!O93=Records!P93,Records!P93=Records!Q93,Records!Q93=Records!R93,Records!R93=Records!S93),AND(Records!P93=Records!Q93,Records!Q93=Records!R93,Records!R93=Records!S93,Records!S93=Records!T93),AND(Records!Q93=Records!R93,Records!R93=Records!S93,Records!S93=Records!T93,Records!T93=Records!U93),AND(Records!R93=Records!S93,Records!S93=Records!T93,Records!T93=Records!U93,Records!U93=Records!V93),AND(Records!S93=Records!T93,Records!T93=Records!U93,Records!U93=Records!V93,Records!V93=Records!W93),AND(Records!T93=Records!U93,Records!U93=Records!V93,Records!V93=Records!W93,Records!W93=Records!X93)),"是","否"))</f>
        <v/>
      </c>
      <c r="R93" s="336">
        <f>IF(Records!AF93="","",Records!AF93)</f>
        <v/>
      </c>
      <c r="S93" s="336">
        <f>IF(Records!AG93="","",Records!AG93)</f>
        <v/>
      </c>
      <c r="T93" s="336">
        <f>IF(Records!AH93="","",Records!AH93)</f>
        <v/>
      </c>
      <c r="U93" s="336">
        <f>IF(Records!AI93="","",Records!AI93)</f>
        <v/>
      </c>
      <c r="V93" s="336">
        <f>IF(Records!AJ93="","",Records!AJ93)</f>
        <v/>
      </c>
      <c r="W93" s="336">
        <f>IF(Records!AK93="","",Records!AK93)</f>
        <v/>
      </c>
      <c r="X93" s="336">
        <f>IF(Records!AL93="","",Records!AL93)</f>
        <v/>
      </c>
      <c r="Y93" s="336">
        <f>IF(Records!AM93="","",Records!AM93)</f>
        <v/>
      </c>
      <c r="Z93" s="336">
        <f>IF(Records!AN93="","",Records!AN93)</f>
        <v/>
      </c>
    </row>
    <row r="94">
      <c r="A94" s="335">
        <f>IF(Records!A94="","",Records!A94)</f>
        <v/>
      </c>
      <c r="B94" s="335">
        <f>IF(Records!B94="","",Records!B94)</f>
        <v/>
      </c>
      <c r="C94" s="336">
        <f>IF(Records!H94="","",Records!H94)</f>
        <v/>
      </c>
      <c r="D94" s="336">
        <f>IF(Records!F94="","",Records!F94)</f>
        <v/>
      </c>
      <c r="E94" s="337">
        <f>IF(AND(COUNTIFS(Participants!$A$3:$A$26,Records!A94,Participants!$V$3:$V$26,"是")=1,Records!AB94="是",Records!AC94="是",Records!AD94="是",COUNT(Records!K94,Records!L94,Records!M94,Records!O94,Records!P94,Records!Q94,Records!R94,Records!S94,Records!T94,Records!U94,Records!V94,Records!W94,Records!X94)=13),"是","否")</f>
        <v/>
      </c>
      <c r="F94" s="336">
        <f>IF(Records!K94="","",Records!K94)</f>
        <v/>
      </c>
      <c r="G94" s="336">
        <f>IF(Records!R94="","",Records!R94)</f>
        <v/>
      </c>
      <c r="H94" s="336">
        <f>IF(Records!L94="","",Records!L94)</f>
        <v/>
      </c>
      <c r="I94" s="336">
        <f>IF(Records!M94="","",Records!M94)</f>
        <v/>
      </c>
      <c r="J94" s="336">
        <f>IF(Records!Q94="","",Records!Q94)</f>
        <v/>
      </c>
      <c r="K94" s="336">
        <f>IF(Records!W94="","",Records!W94)</f>
        <v/>
      </c>
      <c r="L94" s="336">
        <f>IF(Records!X94="","",Records!X94)</f>
        <v/>
      </c>
      <c r="M94" s="336">
        <f>IF(COUNT(Records!S94,Records!T94,Records!U94)=3,AVERAGE(Records!S94,Records!T94,Records!U94),"")</f>
        <v/>
      </c>
      <c r="N94" s="336">
        <f>IF(COUNT(Records!V94,Records!O94,Records!P94)=3,AVERAGE(Records!V94,Records!O94,Records!P94),"")</f>
        <v/>
      </c>
      <c r="O94" s="336">
        <f>IF(Records!N94="","",Records!N94)</f>
        <v/>
      </c>
      <c r="P94" s="337">
        <f>IF(Records!AA94="","",IF(Records!AA94&gt;150,"是","否"))</f>
        <v/>
      </c>
      <c r="Q94" s="337">
        <f>IF(COUNT(Records!K94,Records!L94,Records!M94,Records!O94,Records!P94,Records!Q94,Records!R94,Records!S94,Records!T94,Records!U94,Records!V94,Records!W94,Records!X94)&lt;13,"",IF(OR(AND(Records!K94=Records!L94,Records!L94=Records!M94,Records!M94=Records!O94,Records!O94=Records!P94),AND(Records!L94=Records!M94,Records!M94=Records!O94,Records!O94=Records!P94,Records!P94=Records!Q94),AND(Records!M94=Records!O94,Records!O94=Records!P94,Records!P94=Records!Q94,Records!Q94=Records!R94),AND(Records!O94=Records!P94,Records!P94=Records!Q94,Records!Q94=Records!R94,Records!R94=Records!S94),AND(Records!P94=Records!Q94,Records!Q94=Records!R94,Records!R94=Records!S94,Records!S94=Records!T94),AND(Records!Q94=Records!R94,Records!R94=Records!S94,Records!S94=Records!T94,Records!T94=Records!U94),AND(Records!R94=Records!S94,Records!S94=Records!T94,Records!T94=Records!U94,Records!U94=Records!V94),AND(Records!S94=Records!T94,Records!T94=Records!U94,Records!U94=Records!V94,Records!V94=Records!W94),AND(Records!T94=Records!U94,Records!U94=Records!V94,Records!V94=Records!W94,Records!W94=Records!X94)),"是","否"))</f>
        <v/>
      </c>
      <c r="R94" s="336">
        <f>IF(Records!AF94="","",Records!AF94)</f>
        <v/>
      </c>
      <c r="S94" s="336">
        <f>IF(Records!AG94="","",Records!AG94)</f>
        <v/>
      </c>
      <c r="T94" s="336">
        <f>IF(Records!AH94="","",Records!AH94)</f>
        <v/>
      </c>
      <c r="U94" s="336">
        <f>IF(Records!AI94="","",Records!AI94)</f>
        <v/>
      </c>
      <c r="V94" s="336">
        <f>IF(Records!AJ94="","",Records!AJ94)</f>
        <v/>
      </c>
      <c r="W94" s="336">
        <f>IF(Records!AK94="","",Records!AK94)</f>
        <v/>
      </c>
      <c r="X94" s="336">
        <f>IF(Records!AL94="","",Records!AL94)</f>
        <v/>
      </c>
      <c r="Y94" s="336">
        <f>IF(Records!AM94="","",Records!AM94)</f>
        <v/>
      </c>
      <c r="Z94" s="336">
        <f>IF(Records!AN94="","",Records!AN94)</f>
        <v/>
      </c>
    </row>
    <row r="95">
      <c r="A95" s="335">
        <f>IF(Records!A95="","",Records!A95)</f>
        <v/>
      </c>
      <c r="B95" s="335">
        <f>IF(Records!B95="","",Records!B95)</f>
        <v/>
      </c>
      <c r="C95" s="336">
        <f>IF(Records!H95="","",Records!H95)</f>
        <v/>
      </c>
      <c r="D95" s="336">
        <f>IF(Records!F95="","",Records!F95)</f>
        <v/>
      </c>
      <c r="E95" s="337">
        <f>IF(AND(COUNTIFS(Participants!$A$3:$A$26,Records!A95,Participants!$V$3:$V$26,"是")=1,Records!AB95="是",Records!AC95="是",Records!AD95="是",COUNT(Records!K95,Records!L95,Records!M95,Records!O95,Records!P95,Records!Q95,Records!R95,Records!S95,Records!T95,Records!U95,Records!V95,Records!W95,Records!X95)=13),"是","否")</f>
        <v/>
      </c>
      <c r="F95" s="336">
        <f>IF(Records!K95="","",Records!K95)</f>
        <v/>
      </c>
      <c r="G95" s="336">
        <f>IF(Records!R95="","",Records!R95)</f>
        <v/>
      </c>
      <c r="H95" s="336">
        <f>IF(Records!L95="","",Records!L95)</f>
        <v/>
      </c>
      <c r="I95" s="336">
        <f>IF(Records!M95="","",Records!M95)</f>
        <v/>
      </c>
      <c r="J95" s="336">
        <f>IF(Records!Q95="","",Records!Q95)</f>
        <v/>
      </c>
      <c r="K95" s="336">
        <f>IF(Records!W95="","",Records!W95)</f>
        <v/>
      </c>
      <c r="L95" s="336">
        <f>IF(Records!X95="","",Records!X95)</f>
        <v/>
      </c>
      <c r="M95" s="336">
        <f>IF(COUNT(Records!S95,Records!T95,Records!U95)=3,AVERAGE(Records!S95,Records!T95,Records!U95),"")</f>
        <v/>
      </c>
      <c r="N95" s="336">
        <f>IF(COUNT(Records!V95,Records!O95,Records!P95)=3,AVERAGE(Records!V95,Records!O95,Records!P95),"")</f>
        <v/>
      </c>
      <c r="O95" s="336">
        <f>IF(Records!N95="","",Records!N95)</f>
        <v/>
      </c>
      <c r="P95" s="337">
        <f>IF(Records!AA95="","",IF(Records!AA95&gt;150,"是","否"))</f>
        <v/>
      </c>
      <c r="Q95" s="337">
        <f>IF(COUNT(Records!K95,Records!L95,Records!M95,Records!O95,Records!P95,Records!Q95,Records!R95,Records!S95,Records!T95,Records!U95,Records!V95,Records!W95,Records!X95)&lt;13,"",IF(OR(AND(Records!K95=Records!L95,Records!L95=Records!M95,Records!M95=Records!O95,Records!O95=Records!P95),AND(Records!L95=Records!M95,Records!M95=Records!O95,Records!O95=Records!P95,Records!P95=Records!Q95),AND(Records!M95=Records!O95,Records!O95=Records!P95,Records!P95=Records!Q95,Records!Q95=Records!R95),AND(Records!O95=Records!P95,Records!P95=Records!Q95,Records!Q95=Records!R95,Records!R95=Records!S95),AND(Records!P95=Records!Q95,Records!Q95=Records!R95,Records!R95=Records!S95,Records!S95=Records!T95),AND(Records!Q95=Records!R95,Records!R95=Records!S95,Records!S95=Records!T95,Records!T95=Records!U95),AND(Records!R95=Records!S95,Records!S95=Records!T95,Records!T95=Records!U95,Records!U95=Records!V95),AND(Records!S95=Records!T95,Records!T95=Records!U95,Records!U95=Records!V95,Records!V95=Records!W95),AND(Records!T95=Records!U95,Records!U95=Records!V95,Records!V95=Records!W95,Records!W95=Records!X95)),"是","否"))</f>
        <v/>
      </c>
      <c r="R95" s="336">
        <f>IF(Records!AF95="","",Records!AF95)</f>
        <v/>
      </c>
      <c r="S95" s="336">
        <f>IF(Records!AG95="","",Records!AG95)</f>
        <v/>
      </c>
      <c r="T95" s="336">
        <f>IF(Records!AH95="","",Records!AH95)</f>
        <v/>
      </c>
      <c r="U95" s="336">
        <f>IF(Records!AI95="","",Records!AI95)</f>
        <v/>
      </c>
      <c r="V95" s="336">
        <f>IF(Records!AJ95="","",Records!AJ95)</f>
        <v/>
      </c>
      <c r="W95" s="336">
        <f>IF(Records!AK95="","",Records!AK95)</f>
        <v/>
      </c>
      <c r="X95" s="336">
        <f>IF(Records!AL95="","",Records!AL95)</f>
        <v/>
      </c>
      <c r="Y95" s="336">
        <f>IF(Records!AM95="","",Records!AM95)</f>
        <v/>
      </c>
      <c r="Z95" s="336">
        <f>IF(Records!AN95="","",Records!AN95)</f>
        <v/>
      </c>
    </row>
    <row r="96">
      <c r="A96" s="335">
        <f>IF(Records!A96="","",Records!A96)</f>
        <v/>
      </c>
      <c r="B96" s="335">
        <f>IF(Records!B96="","",Records!B96)</f>
        <v/>
      </c>
      <c r="C96" s="336">
        <f>IF(Records!H96="","",Records!H96)</f>
        <v/>
      </c>
      <c r="D96" s="336">
        <f>IF(Records!F96="","",Records!F96)</f>
        <v/>
      </c>
      <c r="E96" s="337">
        <f>IF(AND(COUNTIFS(Participants!$A$3:$A$26,Records!A96,Participants!$V$3:$V$26,"是")=1,Records!AB96="是",Records!AC96="是",Records!AD96="是",COUNT(Records!K96,Records!L96,Records!M96,Records!O96,Records!P96,Records!Q96,Records!R96,Records!S96,Records!T96,Records!U96,Records!V96,Records!W96,Records!X96)=13),"是","否")</f>
        <v/>
      </c>
      <c r="F96" s="336">
        <f>IF(Records!K96="","",Records!K96)</f>
        <v/>
      </c>
      <c r="G96" s="336">
        <f>IF(Records!R96="","",Records!R96)</f>
        <v/>
      </c>
      <c r="H96" s="336">
        <f>IF(Records!L96="","",Records!L96)</f>
        <v/>
      </c>
      <c r="I96" s="336">
        <f>IF(Records!M96="","",Records!M96)</f>
        <v/>
      </c>
      <c r="J96" s="336">
        <f>IF(Records!Q96="","",Records!Q96)</f>
        <v/>
      </c>
      <c r="K96" s="336">
        <f>IF(Records!W96="","",Records!W96)</f>
        <v/>
      </c>
      <c r="L96" s="336">
        <f>IF(Records!X96="","",Records!X96)</f>
        <v/>
      </c>
      <c r="M96" s="336">
        <f>IF(COUNT(Records!S96,Records!T96,Records!U96)=3,AVERAGE(Records!S96,Records!T96,Records!U96),"")</f>
        <v/>
      </c>
      <c r="N96" s="336">
        <f>IF(COUNT(Records!V96,Records!O96,Records!P96)=3,AVERAGE(Records!V96,Records!O96,Records!P96),"")</f>
        <v/>
      </c>
      <c r="O96" s="336">
        <f>IF(Records!N96="","",Records!N96)</f>
        <v/>
      </c>
      <c r="P96" s="337">
        <f>IF(Records!AA96="","",IF(Records!AA96&gt;150,"是","否"))</f>
        <v/>
      </c>
      <c r="Q96" s="337">
        <f>IF(COUNT(Records!K96,Records!L96,Records!M96,Records!O96,Records!P96,Records!Q96,Records!R96,Records!S96,Records!T96,Records!U96,Records!V96,Records!W96,Records!X96)&lt;13,"",IF(OR(AND(Records!K96=Records!L96,Records!L96=Records!M96,Records!M96=Records!O96,Records!O96=Records!P96),AND(Records!L96=Records!M96,Records!M96=Records!O96,Records!O96=Records!P96,Records!P96=Records!Q96),AND(Records!M96=Records!O96,Records!O96=Records!P96,Records!P96=Records!Q96,Records!Q96=Records!R96),AND(Records!O96=Records!P96,Records!P96=Records!Q96,Records!Q96=Records!R96,Records!R96=Records!S96),AND(Records!P96=Records!Q96,Records!Q96=Records!R96,Records!R96=Records!S96,Records!S96=Records!T96),AND(Records!Q96=Records!R96,Records!R96=Records!S96,Records!S96=Records!T96,Records!T96=Records!U96),AND(Records!R96=Records!S96,Records!S96=Records!T96,Records!T96=Records!U96,Records!U96=Records!V96),AND(Records!S96=Records!T96,Records!T96=Records!U96,Records!U96=Records!V96,Records!V96=Records!W96),AND(Records!T96=Records!U96,Records!U96=Records!V96,Records!V96=Records!W96,Records!W96=Records!X96)),"是","否"))</f>
        <v/>
      </c>
      <c r="R96" s="336">
        <f>IF(Records!AF96="","",Records!AF96)</f>
        <v/>
      </c>
      <c r="S96" s="336">
        <f>IF(Records!AG96="","",Records!AG96)</f>
        <v/>
      </c>
      <c r="T96" s="336">
        <f>IF(Records!AH96="","",Records!AH96)</f>
        <v/>
      </c>
      <c r="U96" s="336">
        <f>IF(Records!AI96="","",Records!AI96)</f>
        <v/>
      </c>
      <c r="V96" s="336">
        <f>IF(Records!AJ96="","",Records!AJ96)</f>
        <v/>
      </c>
      <c r="W96" s="336">
        <f>IF(Records!AK96="","",Records!AK96)</f>
        <v/>
      </c>
      <c r="X96" s="336">
        <f>IF(Records!AL96="","",Records!AL96)</f>
        <v/>
      </c>
      <c r="Y96" s="336">
        <f>IF(Records!AM96="","",Records!AM96)</f>
        <v/>
      </c>
      <c r="Z96" s="336">
        <f>IF(Records!AN96="","",Records!AN96)</f>
        <v/>
      </c>
    </row>
    <row r="97">
      <c r="A97" s="335">
        <f>IF(Records!A97="","",Records!A97)</f>
        <v/>
      </c>
      <c r="B97" s="335">
        <f>IF(Records!B97="","",Records!B97)</f>
        <v/>
      </c>
      <c r="C97" s="336">
        <f>IF(Records!H97="","",Records!H97)</f>
        <v/>
      </c>
      <c r="D97" s="336">
        <f>IF(Records!F97="","",Records!F97)</f>
        <v/>
      </c>
      <c r="E97" s="337">
        <f>IF(AND(COUNTIFS(Participants!$A$3:$A$26,Records!A97,Participants!$V$3:$V$26,"是")=1,Records!AB97="是",Records!AC97="是",Records!AD97="是",COUNT(Records!K97,Records!L97,Records!M97,Records!O97,Records!P97,Records!Q97,Records!R97,Records!S97,Records!T97,Records!U97,Records!V97,Records!W97,Records!X97)=13),"是","否")</f>
        <v/>
      </c>
      <c r="F97" s="336">
        <f>IF(Records!K97="","",Records!K97)</f>
        <v/>
      </c>
      <c r="G97" s="336">
        <f>IF(Records!R97="","",Records!R97)</f>
        <v/>
      </c>
      <c r="H97" s="336">
        <f>IF(Records!L97="","",Records!L97)</f>
        <v/>
      </c>
      <c r="I97" s="336">
        <f>IF(Records!M97="","",Records!M97)</f>
        <v/>
      </c>
      <c r="J97" s="336">
        <f>IF(Records!Q97="","",Records!Q97)</f>
        <v/>
      </c>
      <c r="K97" s="336">
        <f>IF(Records!W97="","",Records!W97)</f>
        <v/>
      </c>
      <c r="L97" s="336">
        <f>IF(Records!X97="","",Records!X97)</f>
        <v/>
      </c>
      <c r="M97" s="336">
        <f>IF(COUNT(Records!S97,Records!T97,Records!U97)=3,AVERAGE(Records!S97,Records!T97,Records!U97),"")</f>
        <v/>
      </c>
      <c r="N97" s="336">
        <f>IF(COUNT(Records!V97,Records!O97,Records!P97)=3,AVERAGE(Records!V97,Records!O97,Records!P97),"")</f>
        <v/>
      </c>
      <c r="O97" s="336">
        <f>IF(Records!N97="","",Records!N97)</f>
        <v/>
      </c>
      <c r="P97" s="337">
        <f>IF(Records!AA97="","",IF(Records!AA97&gt;150,"是","否"))</f>
        <v/>
      </c>
      <c r="Q97" s="337">
        <f>IF(COUNT(Records!K97,Records!L97,Records!M97,Records!O97,Records!P97,Records!Q97,Records!R97,Records!S97,Records!T97,Records!U97,Records!V97,Records!W97,Records!X97)&lt;13,"",IF(OR(AND(Records!K97=Records!L97,Records!L97=Records!M97,Records!M97=Records!O97,Records!O97=Records!P97),AND(Records!L97=Records!M97,Records!M97=Records!O97,Records!O97=Records!P97,Records!P97=Records!Q97),AND(Records!M97=Records!O97,Records!O97=Records!P97,Records!P97=Records!Q97,Records!Q97=Records!R97),AND(Records!O97=Records!P97,Records!P97=Records!Q97,Records!Q97=Records!R97,Records!R97=Records!S97),AND(Records!P97=Records!Q97,Records!Q97=Records!R97,Records!R97=Records!S97,Records!S97=Records!T97),AND(Records!Q97=Records!R97,Records!R97=Records!S97,Records!S97=Records!T97,Records!T97=Records!U97),AND(Records!R97=Records!S97,Records!S97=Records!T97,Records!T97=Records!U97,Records!U97=Records!V97),AND(Records!S97=Records!T97,Records!T97=Records!U97,Records!U97=Records!V97,Records!V97=Records!W97),AND(Records!T97=Records!U97,Records!U97=Records!V97,Records!V97=Records!W97,Records!W97=Records!X97)),"是","否"))</f>
        <v/>
      </c>
      <c r="R97" s="336">
        <f>IF(Records!AF97="","",Records!AF97)</f>
        <v/>
      </c>
      <c r="S97" s="336">
        <f>IF(Records!AG97="","",Records!AG97)</f>
        <v/>
      </c>
      <c r="T97" s="336">
        <f>IF(Records!AH97="","",Records!AH97)</f>
        <v/>
      </c>
      <c r="U97" s="336">
        <f>IF(Records!AI97="","",Records!AI97)</f>
        <v/>
      </c>
      <c r="V97" s="336">
        <f>IF(Records!AJ97="","",Records!AJ97)</f>
        <v/>
      </c>
      <c r="W97" s="336">
        <f>IF(Records!AK97="","",Records!AK97)</f>
        <v/>
      </c>
      <c r="X97" s="336">
        <f>IF(Records!AL97="","",Records!AL97)</f>
        <v/>
      </c>
      <c r="Y97" s="336">
        <f>IF(Records!AM97="","",Records!AM97)</f>
        <v/>
      </c>
      <c r="Z97" s="336">
        <f>IF(Records!AN97="","",Records!AN97)</f>
        <v/>
      </c>
    </row>
    <row r="98">
      <c r="A98" s="335">
        <f>IF(Records!A98="","",Records!A98)</f>
        <v/>
      </c>
      <c r="B98" s="335">
        <f>IF(Records!B98="","",Records!B98)</f>
        <v/>
      </c>
      <c r="C98" s="336">
        <f>IF(Records!H98="","",Records!H98)</f>
        <v/>
      </c>
      <c r="D98" s="336">
        <f>IF(Records!F98="","",Records!F98)</f>
        <v/>
      </c>
      <c r="E98" s="337">
        <f>IF(AND(COUNTIFS(Participants!$A$3:$A$26,Records!A98,Participants!$V$3:$V$26,"是")=1,Records!AB98="是",Records!AC98="是",Records!AD98="是",COUNT(Records!K98,Records!L98,Records!M98,Records!O98,Records!P98,Records!Q98,Records!R98,Records!S98,Records!T98,Records!U98,Records!V98,Records!W98,Records!X98)=13),"是","否")</f>
        <v/>
      </c>
      <c r="F98" s="336">
        <f>IF(Records!K98="","",Records!K98)</f>
        <v/>
      </c>
      <c r="G98" s="336">
        <f>IF(Records!R98="","",Records!R98)</f>
        <v/>
      </c>
      <c r="H98" s="336">
        <f>IF(Records!L98="","",Records!L98)</f>
        <v/>
      </c>
      <c r="I98" s="336">
        <f>IF(Records!M98="","",Records!M98)</f>
        <v/>
      </c>
      <c r="J98" s="336">
        <f>IF(Records!Q98="","",Records!Q98)</f>
        <v/>
      </c>
      <c r="K98" s="336">
        <f>IF(Records!W98="","",Records!W98)</f>
        <v/>
      </c>
      <c r="L98" s="336">
        <f>IF(Records!X98="","",Records!X98)</f>
        <v/>
      </c>
      <c r="M98" s="336">
        <f>IF(COUNT(Records!S98,Records!T98,Records!U98)=3,AVERAGE(Records!S98,Records!T98,Records!U98),"")</f>
        <v/>
      </c>
      <c r="N98" s="336">
        <f>IF(COUNT(Records!V98,Records!O98,Records!P98)=3,AVERAGE(Records!V98,Records!O98,Records!P98),"")</f>
        <v/>
      </c>
      <c r="O98" s="336">
        <f>IF(Records!N98="","",Records!N98)</f>
        <v/>
      </c>
      <c r="P98" s="337">
        <f>IF(Records!AA98="","",IF(Records!AA98&gt;150,"是","否"))</f>
        <v/>
      </c>
      <c r="Q98" s="337">
        <f>IF(COUNT(Records!K98,Records!L98,Records!M98,Records!O98,Records!P98,Records!Q98,Records!R98,Records!S98,Records!T98,Records!U98,Records!V98,Records!W98,Records!X98)&lt;13,"",IF(OR(AND(Records!K98=Records!L98,Records!L98=Records!M98,Records!M98=Records!O98,Records!O98=Records!P98),AND(Records!L98=Records!M98,Records!M98=Records!O98,Records!O98=Records!P98,Records!P98=Records!Q98),AND(Records!M98=Records!O98,Records!O98=Records!P98,Records!P98=Records!Q98,Records!Q98=Records!R98),AND(Records!O98=Records!P98,Records!P98=Records!Q98,Records!Q98=Records!R98,Records!R98=Records!S98),AND(Records!P98=Records!Q98,Records!Q98=Records!R98,Records!R98=Records!S98,Records!S98=Records!T98),AND(Records!Q98=Records!R98,Records!R98=Records!S98,Records!S98=Records!T98,Records!T98=Records!U98),AND(Records!R98=Records!S98,Records!S98=Records!T98,Records!T98=Records!U98,Records!U98=Records!V98),AND(Records!S98=Records!T98,Records!T98=Records!U98,Records!U98=Records!V98,Records!V98=Records!W98),AND(Records!T98=Records!U98,Records!U98=Records!V98,Records!V98=Records!W98,Records!W98=Records!X98)),"是","否"))</f>
        <v/>
      </c>
      <c r="R98" s="336">
        <f>IF(Records!AF98="","",Records!AF98)</f>
        <v/>
      </c>
      <c r="S98" s="336">
        <f>IF(Records!AG98="","",Records!AG98)</f>
        <v/>
      </c>
      <c r="T98" s="336">
        <f>IF(Records!AH98="","",Records!AH98)</f>
        <v/>
      </c>
      <c r="U98" s="336">
        <f>IF(Records!AI98="","",Records!AI98)</f>
        <v/>
      </c>
      <c r="V98" s="336">
        <f>IF(Records!AJ98="","",Records!AJ98)</f>
        <v/>
      </c>
      <c r="W98" s="336">
        <f>IF(Records!AK98="","",Records!AK98)</f>
        <v/>
      </c>
      <c r="X98" s="336">
        <f>IF(Records!AL98="","",Records!AL98)</f>
        <v/>
      </c>
      <c r="Y98" s="336">
        <f>IF(Records!AM98="","",Records!AM98)</f>
        <v/>
      </c>
      <c r="Z98" s="336">
        <f>IF(Records!AN98="","",Records!AN98)</f>
        <v/>
      </c>
    </row>
    <row r="99">
      <c r="A99" s="335">
        <f>IF(Records!A99="","",Records!A99)</f>
        <v/>
      </c>
      <c r="B99" s="335">
        <f>IF(Records!B99="","",Records!B99)</f>
        <v/>
      </c>
      <c r="C99" s="336">
        <f>IF(Records!H99="","",Records!H99)</f>
        <v/>
      </c>
      <c r="D99" s="336">
        <f>IF(Records!F99="","",Records!F99)</f>
        <v/>
      </c>
      <c r="E99" s="337">
        <f>IF(AND(COUNTIFS(Participants!$A$3:$A$26,Records!A99,Participants!$V$3:$V$26,"是")=1,Records!AB99="是",Records!AC99="是",Records!AD99="是",COUNT(Records!K99,Records!L99,Records!M99,Records!O99,Records!P99,Records!Q99,Records!R99,Records!S99,Records!T99,Records!U99,Records!V99,Records!W99,Records!X99)=13),"是","否")</f>
        <v/>
      </c>
      <c r="F99" s="336">
        <f>IF(Records!K99="","",Records!K99)</f>
        <v/>
      </c>
      <c r="G99" s="336">
        <f>IF(Records!R99="","",Records!R99)</f>
        <v/>
      </c>
      <c r="H99" s="336">
        <f>IF(Records!L99="","",Records!L99)</f>
        <v/>
      </c>
      <c r="I99" s="336">
        <f>IF(Records!M99="","",Records!M99)</f>
        <v/>
      </c>
      <c r="J99" s="336">
        <f>IF(Records!Q99="","",Records!Q99)</f>
        <v/>
      </c>
      <c r="K99" s="336">
        <f>IF(Records!W99="","",Records!W99)</f>
        <v/>
      </c>
      <c r="L99" s="336">
        <f>IF(Records!X99="","",Records!X99)</f>
        <v/>
      </c>
      <c r="M99" s="336">
        <f>IF(COUNT(Records!S99,Records!T99,Records!U99)=3,AVERAGE(Records!S99,Records!T99,Records!U99),"")</f>
        <v/>
      </c>
      <c r="N99" s="336">
        <f>IF(COUNT(Records!V99,Records!O99,Records!P99)=3,AVERAGE(Records!V99,Records!O99,Records!P99),"")</f>
        <v/>
      </c>
      <c r="O99" s="336">
        <f>IF(Records!N99="","",Records!N99)</f>
        <v/>
      </c>
      <c r="P99" s="337">
        <f>IF(Records!AA99="","",IF(Records!AA99&gt;150,"是","否"))</f>
        <v/>
      </c>
      <c r="Q99" s="337">
        <f>IF(COUNT(Records!K99,Records!L99,Records!M99,Records!O99,Records!P99,Records!Q99,Records!R99,Records!S99,Records!T99,Records!U99,Records!V99,Records!W99,Records!X99)&lt;13,"",IF(OR(AND(Records!K99=Records!L99,Records!L99=Records!M99,Records!M99=Records!O99,Records!O99=Records!P99),AND(Records!L99=Records!M99,Records!M99=Records!O99,Records!O99=Records!P99,Records!P99=Records!Q99),AND(Records!M99=Records!O99,Records!O99=Records!P99,Records!P99=Records!Q99,Records!Q99=Records!R99),AND(Records!O99=Records!P99,Records!P99=Records!Q99,Records!Q99=Records!R99,Records!R99=Records!S99),AND(Records!P99=Records!Q99,Records!Q99=Records!R99,Records!R99=Records!S99,Records!S99=Records!T99),AND(Records!Q99=Records!R99,Records!R99=Records!S99,Records!S99=Records!T99,Records!T99=Records!U99),AND(Records!R99=Records!S99,Records!S99=Records!T99,Records!T99=Records!U99,Records!U99=Records!V99),AND(Records!S99=Records!T99,Records!T99=Records!U99,Records!U99=Records!V99,Records!V99=Records!W99),AND(Records!T99=Records!U99,Records!U99=Records!V99,Records!V99=Records!W99,Records!W99=Records!X99)),"是","否"))</f>
        <v/>
      </c>
      <c r="R99" s="336">
        <f>IF(Records!AF99="","",Records!AF99)</f>
        <v/>
      </c>
      <c r="S99" s="336">
        <f>IF(Records!AG99="","",Records!AG99)</f>
        <v/>
      </c>
      <c r="T99" s="336">
        <f>IF(Records!AH99="","",Records!AH99)</f>
        <v/>
      </c>
      <c r="U99" s="336">
        <f>IF(Records!AI99="","",Records!AI99)</f>
        <v/>
      </c>
      <c r="V99" s="336">
        <f>IF(Records!AJ99="","",Records!AJ99)</f>
        <v/>
      </c>
      <c r="W99" s="336">
        <f>IF(Records!AK99="","",Records!AK99)</f>
        <v/>
      </c>
      <c r="X99" s="336">
        <f>IF(Records!AL99="","",Records!AL99)</f>
        <v/>
      </c>
      <c r="Y99" s="336">
        <f>IF(Records!AM99="","",Records!AM99)</f>
        <v/>
      </c>
      <c r="Z99" s="336">
        <f>IF(Records!AN99="","",Records!AN99)</f>
        <v/>
      </c>
    </row>
    <row r="100">
      <c r="A100" s="335">
        <f>IF(Records!A100="","",Records!A100)</f>
        <v/>
      </c>
      <c r="B100" s="335">
        <f>IF(Records!B100="","",Records!B100)</f>
        <v/>
      </c>
      <c r="C100" s="336">
        <f>IF(Records!H100="","",Records!H100)</f>
        <v/>
      </c>
      <c r="D100" s="336">
        <f>IF(Records!F100="","",Records!F100)</f>
        <v/>
      </c>
      <c r="E100" s="337">
        <f>IF(AND(COUNTIFS(Participants!$A$3:$A$26,Records!A100,Participants!$V$3:$V$26,"是")=1,Records!AB100="是",Records!AC100="是",Records!AD100="是",COUNT(Records!K100,Records!L100,Records!M100,Records!O100,Records!P100,Records!Q100,Records!R100,Records!S100,Records!T100,Records!U100,Records!V100,Records!W100,Records!X100)=13),"是","否")</f>
        <v/>
      </c>
      <c r="F100" s="336">
        <f>IF(Records!K100="","",Records!K100)</f>
        <v/>
      </c>
      <c r="G100" s="336">
        <f>IF(Records!R100="","",Records!R100)</f>
        <v/>
      </c>
      <c r="H100" s="336">
        <f>IF(Records!L100="","",Records!L100)</f>
        <v/>
      </c>
      <c r="I100" s="336">
        <f>IF(Records!M100="","",Records!M100)</f>
        <v/>
      </c>
      <c r="J100" s="336">
        <f>IF(Records!Q100="","",Records!Q100)</f>
        <v/>
      </c>
      <c r="K100" s="336">
        <f>IF(Records!W100="","",Records!W100)</f>
        <v/>
      </c>
      <c r="L100" s="336">
        <f>IF(Records!X100="","",Records!X100)</f>
        <v/>
      </c>
      <c r="M100" s="336">
        <f>IF(COUNT(Records!S100,Records!T100,Records!U100)=3,AVERAGE(Records!S100,Records!T100,Records!U100),"")</f>
        <v/>
      </c>
      <c r="N100" s="336">
        <f>IF(COUNT(Records!V100,Records!O100,Records!P100)=3,AVERAGE(Records!V100,Records!O100,Records!P100),"")</f>
        <v/>
      </c>
      <c r="O100" s="336">
        <f>IF(Records!N100="","",Records!N100)</f>
        <v/>
      </c>
      <c r="P100" s="337">
        <f>IF(Records!AA100="","",IF(Records!AA100&gt;150,"是","否"))</f>
        <v/>
      </c>
      <c r="Q100" s="337">
        <f>IF(COUNT(Records!K100,Records!L100,Records!M100,Records!O100,Records!P100,Records!Q100,Records!R100,Records!S100,Records!T100,Records!U100,Records!V100,Records!W100,Records!X100)&lt;13,"",IF(OR(AND(Records!K100=Records!L100,Records!L100=Records!M100,Records!M100=Records!O100,Records!O100=Records!P100),AND(Records!L100=Records!M100,Records!M100=Records!O100,Records!O100=Records!P100,Records!P100=Records!Q100),AND(Records!M100=Records!O100,Records!O100=Records!P100,Records!P100=Records!Q100,Records!Q100=Records!R100),AND(Records!O100=Records!P100,Records!P100=Records!Q100,Records!Q100=Records!R100,Records!R100=Records!S100),AND(Records!P100=Records!Q100,Records!Q100=Records!R100,Records!R100=Records!S100,Records!S100=Records!T100),AND(Records!Q100=Records!R100,Records!R100=Records!S100,Records!S100=Records!T100,Records!T100=Records!U100),AND(Records!R100=Records!S100,Records!S100=Records!T100,Records!T100=Records!U100,Records!U100=Records!V100),AND(Records!S100=Records!T100,Records!T100=Records!U100,Records!U100=Records!V100,Records!V100=Records!W100),AND(Records!T100=Records!U100,Records!U100=Records!V100,Records!V100=Records!W100,Records!W100=Records!X100)),"是","否"))</f>
        <v/>
      </c>
      <c r="R100" s="336">
        <f>IF(Records!AF100="","",Records!AF100)</f>
        <v/>
      </c>
      <c r="S100" s="336">
        <f>IF(Records!AG100="","",Records!AG100)</f>
        <v/>
      </c>
      <c r="T100" s="336">
        <f>IF(Records!AH100="","",Records!AH100)</f>
        <v/>
      </c>
      <c r="U100" s="336">
        <f>IF(Records!AI100="","",Records!AI100)</f>
        <v/>
      </c>
      <c r="V100" s="336">
        <f>IF(Records!AJ100="","",Records!AJ100)</f>
        <v/>
      </c>
      <c r="W100" s="336">
        <f>IF(Records!AK100="","",Records!AK100)</f>
        <v/>
      </c>
      <c r="X100" s="336">
        <f>IF(Records!AL100="","",Records!AL100)</f>
        <v/>
      </c>
      <c r="Y100" s="336">
        <f>IF(Records!AM100="","",Records!AM100)</f>
        <v/>
      </c>
      <c r="Z100" s="336">
        <f>IF(Records!AN100="","",Records!AN100)</f>
        <v/>
      </c>
    </row>
    <row r="101">
      <c r="A101" s="335">
        <f>IF(Records!A101="","",Records!A101)</f>
        <v/>
      </c>
      <c r="B101" s="335">
        <f>IF(Records!B101="","",Records!B101)</f>
        <v/>
      </c>
      <c r="C101" s="336">
        <f>IF(Records!H101="","",Records!H101)</f>
        <v/>
      </c>
      <c r="D101" s="336">
        <f>IF(Records!F101="","",Records!F101)</f>
        <v/>
      </c>
      <c r="E101" s="337">
        <f>IF(AND(COUNTIFS(Participants!$A$3:$A$26,Records!A101,Participants!$V$3:$V$26,"是")=1,Records!AB101="是",Records!AC101="是",Records!AD101="是",COUNT(Records!K101,Records!L101,Records!M101,Records!O101,Records!P101,Records!Q101,Records!R101,Records!S101,Records!T101,Records!U101,Records!V101,Records!W101,Records!X101)=13),"是","否")</f>
        <v/>
      </c>
      <c r="F101" s="336">
        <f>IF(Records!K101="","",Records!K101)</f>
        <v/>
      </c>
      <c r="G101" s="336">
        <f>IF(Records!R101="","",Records!R101)</f>
        <v/>
      </c>
      <c r="H101" s="336">
        <f>IF(Records!L101="","",Records!L101)</f>
        <v/>
      </c>
      <c r="I101" s="336">
        <f>IF(Records!M101="","",Records!M101)</f>
        <v/>
      </c>
      <c r="J101" s="336">
        <f>IF(Records!Q101="","",Records!Q101)</f>
        <v/>
      </c>
      <c r="K101" s="336">
        <f>IF(Records!W101="","",Records!W101)</f>
        <v/>
      </c>
      <c r="L101" s="336">
        <f>IF(Records!X101="","",Records!X101)</f>
        <v/>
      </c>
      <c r="M101" s="336">
        <f>IF(COUNT(Records!S101,Records!T101,Records!U101)=3,AVERAGE(Records!S101,Records!T101,Records!U101),"")</f>
        <v/>
      </c>
      <c r="N101" s="336">
        <f>IF(COUNT(Records!V101,Records!O101,Records!P101)=3,AVERAGE(Records!V101,Records!O101,Records!P101),"")</f>
        <v/>
      </c>
      <c r="O101" s="336">
        <f>IF(Records!N101="","",Records!N101)</f>
        <v/>
      </c>
      <c r="P101" s="337">
        <f>IF(Records!AA101="","",IF(Records!AA101&gt;150,"是","否"))</f>
        <v/>
      </c>
      <c r="Q101" s="337">
        <f>IF(COUNT(Records!K101,Records!L101,Records!M101,Records!O101,Records!P101,Records!Q101,Records!R101,Records!S101,Records!T101,Records!U101,Records!V101,Records!W101,Records!X101)&lt;13,"",IF(OR(AND(Records!K101=Records!L101,Records!L101=Records!M101,Records!M101=Records!O101,Records!O101=Records!P101),AND(Records!L101=Records!M101,Records!M101=Records!O101,Records!O101=Records!P101,Records!P101=Records!Q101),AND(Records!M101=Records!O101,Records!O101=Records!P101,Records!P101=Records!Q101,Records!Q101=Records!R101),AND(Records!O101=Records!P101,Records!P101=Records!Q101,Records!Q101=Records!R101,Records!R101=Records!S101),AND(Records!P101=Records!Q101,Records!Q101=Records!R101,Records!R101=Records!S101,Records!S101=Records!T101),AND(Records!Q101=Records!R101,Records!R101=Records!S101,Records!S101=Records!T101,Records!T101=Records!U101),AND(Records!R101=Records!S101,Records!S101=Records!T101,Records!T101=Records!U101,Records!U101=Records!V101),AND(Records!S101=Records!T101,Records!T101=Records!U101,Records!U101=Records!V101,Records!V101=Records!W101),AND(Records!T101=Records!U101,Records!U101=Records!V101,Records!V101=Records!W101,Records!W101=Records!X101)),"是","否"))</f>
        <v/>
      </c>
      <c r="R101" s="336">
        <f>IF(Records!AF101="","",Records!AF101)</f>
        <v/>
      </c>
      <c r="S101" s="336">
        <f>IF(Records!AG101="","",Records!AG101)</f>
        <v/>
      </c>
      <c r="T101" s="336">
        <f>IF(Records!AH101="","",Records!AH101)</f>
        <v/>
      </c>
      <c r="U101" s="336">
        <f>IF(Records!AI101="","",Records!AI101)</f>
        <v/>
      </c>
      <c r="V101" s="336">
        <f>IF(Records!AJ101="","",Records!AJ101)</f>
        <v/>
      </c>
      <c r="W101" s="336">
        <f>IF(Records!AK101="","",Records!AK101)</f>
        <v/>
      </c>
      <c r="X101" s="336">
        <f>IF(Records!AL101="","",Records!AL101)</f>
        <v/>
      </c>
      <c r="Y101" s="336">
        <f>IF(Records!AM101="","",Records!AM101)</f>
        <v/>
      </c>
      <c r="Z101" s="336">
        <f>IF(Records!AN101="","",Records!AN101)</f>
        <v/>
      </c>
    </row>
    <row r="102">
      <c r="A102" s="335">
        <f>IF(Records!A102="","",Records!A102)</f>
        <v/>
      </c>
      <c r="B102" s="335">
        <f>IF(Records!B102="","",Records!B102)</f>
        <v/>
      </c>
      <c r="C102" s="336">
        <f>IF(Records!H102="","",Records!H102)</f>
        <v/>
      </c>
      <c r="D102" s="336">
        <f>IF(Records!F102="","",Records!F102)</f>
        <v/>
      </c>
      <c r="E102" s="337">
        <f>IF(AND(COUNTIFS(Participants!$A$3:$A$26,Records!A102,Participants!$V$3:$V$26,"是")=1,Records!AB102="是",Records!AC102="是",Records!AD102="是",COUNT(Records!K102,Records!L102,Records!M102,Records!O102,Records!P102,Records!Q102,Records!R102,Records!S102,Records!T102,Records!U102,Records!V102,Records!W102,Records!X102)=13),"是","否")</f>
        <v/>
      </c>
      <c r="F102" s="336">
        <f>IF(Records!K102="","",Records!K102)</f>
        <v/>
      </c>
      <c r="G102" s="336">
        <f>IF(Records!R102="","",Records!R102)</f>
        <v/>
      </c>
      <c r="H102" s="336">
        <f>IF(Records!L102="","",Records!L102)</f>
        <v/>
      </c>
      <c r="I102" s="336">
        <f>IF(Records!M102="","",Records!M102)</f>
        <v/>
      </c>
      <c r="J102" s="336">
        <f>IF(Records!Q102="","",Records!Q102)</f>
        <v/>
      </c>
      <c r="K102" s="336">
        <f>IF(Records!W102="","",Records!W102)</f>
        <v/>
      </c>
      <c r="L102" s="336">
        <f>IF(Records!X102="","",Records!X102)</f>
        <v/>
      </c>
      <c r="M102" s="336">
        <f>IF(COUNT(Records!S102,Records!T102,Records!U102)=3,AVERAGE(Records!S102,Records!T102,Records!U102),"")</f>
        <v/>
      </c>
      <c r="N102" s="336">
        <f>IF(COUNT(Records!V102,Records!O102,Records!P102)=3,AVERAGE(Records!V102,Records!O102,Records!P102),"")</f>
        <v/>
      </c>
      <c r="O102" s="336">
        <f>IF(Records!N102="","",Records!N102)</f>
        <v/>
      </c>
      <c r="P102" s="337">
        <f>IF(Records!AA102="","",IF(Records!AA102&gt;150,"是","否"))</f>
        <v/>
      </c>
      <c r="Q102" s="337">
        <f>IF(COUNT(Records!K102,Records!L102,Records!M102,Records!O102,Records!P102,Records!Q102,Records!R102,Records!S102,Records!T102,Records!U102,Records!V102,Records!W102,Records!X102)&lt;13,"",IF(OR(AND(Records!K102=Records!L102,Records!L102=Records!M102,Records!M102=Records!O102,Records!O102=Records!P102),AND(Records!L102=Records!M102,Records!M102=Records!O102,Records!O102=Records!P102,Records!P102=Records!Q102),AND(Records!M102=Records!O102,Records!O102=Records!P102,Records!P102=Records!Q102,Records!Q102=Records!R102),AND(Records!O102=Records!P102,Records!P102=Records!Q102,Records!Q102=Records!R102,Records!R102=Records!S102),AND(Records!P102=Records!Q102,Records!Q102=Records!R102,Records!R102=Records!S102,Records!S102=Records!T102),AND(Records!Q102=Records!R102,Records!R102=Records!S102,Records!S102=Records!T102,Records!T102=Records!U102),AND(Records!R102=Records!S102,Records!S102=Records!T102,Records!T102=Records!U102,Records!U102=Records!V102),AND(Records!S102=Records!T102,Records!T102=Records!U102,Records!U102=Records!V102,Records!V102=Records!W102),AND(Records!T102=Records!U102,Records!U102=Records!V102,Records!V102=Records!W102,Records!W102=Records!X102)),"是","否"))</f>
        <v/>
      </c>
      <c r="R102" s="336">
        <f>IF(Records!AF102="","",Records!AF102)</f>
        <v/>
      </c>
      <c r="S102" s="336">
        <f>IF(Records!AG102="","",Records!AG102)</f>
        <v/>
      </c>
      <c r="T102" s="336">
        <f>IF(Records!AH102="","",Records!AH102)</f>
        <v/>
      </c>
      <c r="U102" s="336">
        <f>IF(Records!AI102="","",Records!AI102)</f>
        <v/>
      </c>
      <c r="V102" s="336">
        <f>IF(Records!AJ102="","",Records!AJ102)</f>
        <v/>
      </c>
      <c r="W102" s="336">
        <f>IF(Records!AK102="","",Records!AK102)</f>
        <v/>
      </c>
      <c r="X102" s="336">
        <f>IF(Records!AL102="","",Records!AL102)</f>
        <v/>
      </c>
      <c r="Y102" s="336">
        <f>IF(Records!AM102="","",Records!AM102)</f>
        <v/>
      </c>
      <c r="Z102" s="336">
        <f>IF(Records!AN102="","",Records!AN102)</f>
        <v/>
      </c>
    </row>
    <row r="103">
      <c r="A103" s="335">
        <f>IF(Records!A103="","",Records!A103)</f>
        <v/>
      </c>
      <c r="B103" s="335">
        <f>IF(Records!B103="","",Records!B103)</f>
        <v/>
      </c>
      <c r="C103" s="336">
        <f>IF(Records!H103="","",Records!H103)</f>
        <v/>
      </c>
      <c r="D103" s="336">
        <f>IF(Records!F103="","",Records!F103)</f>
        <v/>
      </c>
      <c r="E103" s="337">
        <f>IF(AND(COUNTIFS(Participants!$A$3:$A$26,Records!A103,Participants!$V$3:$V$26,"是")=1,Records!AB103="是",Records!AC103="是",Records!AD103="是",COUNT(Records!K103,Records!L103,Records!M103,Records!O103,Records!P103,Records!Q103,Records!R103,Records!S103,Records!T103,Records!U103,Records!V103,Records!W103,Records!X103)=13),"是","否")</f>
        <v/>
      </c>
      <c r="F103" s="336">
        <f>IF(Records!K103="","",Records!K103)</f>
        <v/>
      </c>
      <c r="G103" s="336">
        <f>IF(Records!R103="","",Records!R103)</f>
        <v/>
      </c>
      <c r="H103" s="336">
        <f>IF(Records!L103="","",Records!L103)</f>
        <v/>
      </c>
      <c r="I103" s="336">
        <f>IF(Records!M103="","",Records!M103)</f>
        <v/>
      </c>
      <c r="J103" s="336">
        <f>IF(Records!Q103="","",Records!Q103)</f>
        <v/>
      </c>
      <c r="K103" s="336">
        <f>IF(Records!W103="","",Records!W103)</f>
        <v/>
      </c>
      <c r="L103" s="336">
        <f>IF(Records!X103="","",Records!X103)</f>
        <v/>
      </c>
      <c r="M103" s="336">
        <f>IF(COUNT(Records!S103,Records!T103,Records!U103)=3,AVERAGE(Records!S103,Records!T103,Records!U103),"")</f>
        <v/>
      </c>
      <c r="N103" s="336">
        <f>IF(COUNT(Records!V103,Records!O103,Records!P103)=3,AVERAGE(Records!V103,Records!O103,Records!P103),"")</f>
        <v/>
      </c>
      <c r="O103" s="336">
        <f>IF(Records!N103="","",Records!N103)</f>
        <v/>
      </c>
      <c r="P103" s="337">
        <f>IF(Records!AA103="","",IF(Records!AA103&gt;150,"是","否"))</f>
        <v/>
      </c>
      <c r="Q103" s="337">
        <f>IF(COUNT(Records!K103,Records!L103,Records!M103,Records!O103,Records!P103,Records!Q103,Records!R103,Records!S103,Records!T103,Records!U103,Records!V103,Records!W103,Records!X103)&lt;13,"",IF(OR(AND(Records!K103=Records!L103,Records!L103=Records!M103,Records!M103=Records!O103,Records!O103=Records!P103),AND(Records!L103=Records!M103,Records!M103=Records!O103,Records!O103=Records!P103,Records!P103=Records!Q103),AND(Records!M103=Records!O103,Records!O103=Records!P103,Records!P103=Records!Q103,Records!Q103=Records!R103),AND(Records!O103=Records!P103,Records!P103=Records!Q103,Records!Q103=Records!R103,Records!R103=Records!S103),AND(Records!P103=Records!Q103,Records!Q103=Records!R103,Records!R103=Records!S103,Records!S103=Records!T103),AND(Records!Q103=Records!R103,Records!R103=Records!S103,Records!S103=Records!T103,Records!T103=Records!U103),AND(Records!R103=Records!S103,Records!S103=Records!T103,Records!T103=Records!U103,Records!U103=Records!V103),AND(Records!S103=Records!T103,Records!T103=Records!U103,Records!U103=Records!V103,Records!V103=Records!W103),AND(Records!T103=Records!U103,Records!U103=Records!V103,Records!V103=Records!W103,Records!W103=Records!X103)),"是","否"))</f>
        <v/>
      </c>
      <c r="R103" s="336">
        <f>IF(Records!AF103="","",Records!AF103)</f>
        <v/>
      </c>
      <c r="S103" s="336">
        <f>IF(Records!AG103="","",Records!AG103)</f>
        <v/>
      </c>
      <c r="T103" s="336">
        <f>IF(Records!AH103="","",Records!AH103)</f>
        <v/>
      </c>
      <c r="U103" s="336">
        <f>IF(Records!AI103="","",Records!AI103)</f>
        <v/>
      </c>
      <c r="V103" s="336">
        <f>IF(Records!AJ103="","",Records!AJ103)</f>
        <v/>
      </c>
      <c r="W103" s="336">
        <f>IF(Records!AK103="","",Records!AK103)</f>
        <v/>
      </c>
      <c r="X103" s="336">
        <f>IF(Records!AL103="","",Records!AL103)</f>
        <v/>
      </c>
      <c r="Y103" s="336">
        <f>IF(Records!AM103="","",Records!AM103)</f>
        <v/>
      </c>
      <c r="Z103" s="336">
        <f>IF(Records!AN103="","",Records!AN103)</f>
        <v/>
      </c>
    </row>
    <row r="104">
      <c r="A104" s="335">
        <f>IF(Records!A104="","",Records!A104)</f>
        <v/>
      </c>
      <c r="B104" s="335">
        <f>IF(Records!B104="","",Records!B104)</f>
        <v/>
      </c>
      <c r="C104" s="336">
        <f>IF(Records!H104="","",Records!H104)</f>
        <v/>
      </c>
      <c r="D104" s="336">
        <f>IF(Records!F104="","",Records!F104)</f>
        <v/>
      </c>
      <c r="E104" s="337">
        <f>IF(AND(COUNTIFS(Participants!$A$3:$A$26,Records!A104,Participants!$V$3:$V$26,"是")=1,Records!AB104="是",Records!AC104="是",Records!AD104="是",COUNT(Records!K104,Records!L104,Records!M104,Records!O104,Records!P104,Records!Q104,Records!R104,Records!S104,Records!T104,Records!U104,Records!V104,Records!W104,Records!X104)=13),"是","否")</f>
        <v/>
      </c>
      <c r="F104" s="336">
        <f>IF(Records!K104="","",Records!K104)</f>
        <v/>
      </c>
      <c r="G104" s="336">
        <f>IF(Records!R104="","",Records!R104)</f>
        <v/>
      </c>
      <c r="H104" s="336">
        <f>IF(Records!L104="","",Records!L104)</f>
        <v/>
      </c>
      <c r="I104" s="336">
        <f>IF(Records!M104="","",Records!M104)</f>
        <v/>
      </c>
      <c r="J104" s="336">
        <f>IF(Records!Q104="","",Records!Q104)</f>
        <v/>
      </c>
      <c r="K104" s="336">
        <f>IF(Records!W104="","",Records!W104)</f>
        <v/>
      </c>
      <c r="L104" s="336">
        <f>IF(Records!X104="","",Records!X104)</f>
        <v/>
      </c>
      <c r="M104" s="336">
        <f>IF(COUNT(Records!S104,Records!T104,Records!U104)=3,AVERAGE(Records!S104,Records!T104,Records!U104),"")</f>
        <v/>
      </c>
      <c r="N104" s="336">
        <f>IF(COUNT(Records!V104,Records!O104,Records!P104)=3,AVERAGE(Records!V104,Records!O104,Records!P104),"")</f>
        <v/>
      </c>
      <c r="O104" s="336">
        <f>IF(Records!N104="","",Records!N104)</f>
        <v/>
      </c>
      <c r="P104" s="337">
        <f>IF(Records!AA104="","",IF(Records!AA104&gt;150,"是","否"))</f>
        <v/>
      </c>
      <c r="Q104" s="337">
        <f>IF(COUNT(Records!K104,Records!L104,Records!M104,Records!O104,Records!P104,Records!Q104,Records!R104,Records!S104,Records!T104,Records!U104,Records!V104,Records!W104,Records!X104)&lt;13,"",IF(OR(AND(Records!K104=Records!L104,Records!L104=Records!M104,Records!M104=Records!O104,Records!O104=Records!P104),AND(Records!L104=Records!M104,Records!M104=Records!O104,Records!O104=Records!P104,Records!P104=Records!Q104),AND(Records!M104=Records!O104,Records!O104=Records!P104,Records!P104=Records!Q104,Records!Q104=Records!R104),AND(Records!O104=Records!P104,Records!P104=Records!Q104,Records!Q104=Records!R104,Records!R104=Records!S104),AND(Records!P104=Records!Q104,Records!Q104=Records!R104,Records!R104=Records!S104,Records!S104=Records!T104),AND(Records!Q104=Records!R104,Records!R104=Records!S104,Records!S104=Records!T104,Records!T104=Records!U104),AND(Records!R104=Records!S104,Records!S104=Records!T104,Records!T104=Records!U104,Records!U104=Records!V104),AND(Records!S104=Records!T104,Records!T104=Records!U104,Records!U104=Records!V104,Records!V104=Records!W104),AND(Records!T104=Records!U104,Records!U104=Records!V104,Records!V104=Records!W104,Records!W104=Records!X104)),"是","否"))</f>
        <v/>
      </c>
      <c r="R104" s="336">
        <f>IF(Records!AF104="","",Records!AF104)</f>
        <v/>
      </c>
      <c r="S104" s="336">
        <f>IF(Records!AG104="","",Records!AG104)</f>
        <v/>
      </c>
      <c r="T104" s="336">
        <f>IF(Records!AH104="","",Records!AH104)</f>
        <v/>
      </c>
      <c r="U104" s="336">
        <f>IF(Records!AI104="","",Records!AI104)</f>
        <v/>
      </c>
      <c r="V104" s="336">
        <f>IF(Records!AJ104="","",Records!AJ104)</f>
        <v/>
      </c>
      <c r="W104" s="336">
        <f>IF(Records!AK104="","",Records!AK104)</f>
        <v/>
      </c>
      <c r="X104" s="336">
        <f>IF(Records!AL104="","",Records!AL104)</f>
        <v/>
      </c>
      <c r="Y104" s="336">
        <f>IF(Records!AM104="","",Records!AM104)</f>
        <v/>
      </c>
      <c r="Z104" s="336">
        <f>IF(Records!AN104="","",Records!AN104)</f>
        <v/>
      </c>
    </row>
    <row r="105">
      <c r="A105" s="335">
        <f>IF(Records!A105="","",Records!A105)</f>
        <v/>
      </c>
      <c r="B105" s="335">
        <f>IF(Records!B105="","",Records!B105)</f>
        <v/>
      </c>
      <c r="C105" s="336">
        <f>IF(Records!H105="","",Records!H105)</f>
        <v/>
      </c>
      <c r="D105" s="336">
        <f>IF(Records!F105="","",Records!F105)</f>
        <v/>
      </c>
      <c r="E105" s="337">
        <f>IF(AND(COUNTIFS(Participants!$A$3:$A$26,Records!A105,Participants!$V$3:$V$26,"是")=1,Records!AB105="是",Records!AC105="是",Records!AD105="是",COUNT(Records!K105,Records!L105,Records!M105,Records!O105,Records!P105,Records!Q105,Records!R105,Records!S105,Records!T105,Records!U105,Records!V105,Records!W105,Records!X105)=13),"是","否")</f>
        <v/>
      </c>
      <c r="F105" s="336">
        <f>IF(Records!K105="","",Records!K105)</f>
        <v/>
      </c>
      <c r="G105" s="336">
        <f>IF(Records!R105="","",Records!R105)</f>
        <v/>
      </c>
      <c r="H105" s="336">
        <f>IF(Records!L105="","",Records!L105)</f>
        <v/>
      </c>
      <c r="I105" s="336">
        <f>IF(Records!M105="","",Records!M105)</f>
        <v/>
      </c>
      <c r="J105" s="336">
        <f>IF(Records!Q105="","",Records!Q105)</f>
        <v/>
      </c>
      <c r="K105" s="336">
        <f>IF(Records!W105="","",Records!W105)</f>
        <v/>
      </c>
      <c r="L105" s="336">
        <f>IF(Records!X105="","",Records!X105)</f>
        <v/>
      </c>
      <c r="M105" s="336">
        <f>IF(COUNT(Records!S105,Records!T105,Records!U105)=3,AVERAGE(Records!S105,Records!T105,Records!U105),"")</f>
        <v/>
      </c>
      <c r="N105" s="336">
        <f>IF(COUNT(Records!V105,Records!O105,Records!P105)=3,AVERAGE(Records!V105,Records!O105,Records!P105),"")</f>
        <v/>
      </c>
      <c r="O105" s="336">
        <f>IF(Records!N105="","",Records!N105)</f>
        <v/>
      </c>
      <c r="P105" s="337">
        <f>IF(Records!AA105="","",IF(Records!AA105&gt;150,"是","否"))</f>
        <v/>
      </c>
      <c r="Q105" s="337">
        <f>IF(COUNT(Records!K105,Records!L105,Records!M105,Records!O105,Records!P105,Records!Q105,Records!R105,Records!S105,Records!T105,Records!U105,Records!V105,Records!W105,Records!X105)&lt;13,"",IF(OR(AND(Records!K105=Records!L105,Records!L105=Records!M105,Records!M105=Records!O105,Records!O105=Records!P105),AND(Records!L105=Records!M105,Records!M105=Records!O105,Records!O105=Records!P105,Records!P105=Records!Q105),AND(Records!M105=Records!O105,Records!O105=Records!P105,Records!P105=Records!Q105,Records!Q105=Records!R105),AND(Records!O105=Records!P105,Records!P105=Records!Q105,Records!Q105=Records!R105,Records!R105=Records!S105),AND(Records!P105=Records!Q105,Records!Q105=Records!R105,Records!R105=Records!S105,Records!S105=Records!T105),AND(Records!Q105=Records!R105,Records!R105=Records!S105,Records!S105=Records!T105,Records!T105=Records!U105),AND(Records!R105=Records!S105,Records!S105=Records!T105,Records!T105=Records!U105,Records!U105=Records!V105),AND(Records!S105=Records!T105,Records!T105=Records!U105,Records!U105=Records!V105,Records!V105=Records!W105),AND(Records!T105=Records!U105,Records!U105=Records!V105,Records!V105=Records!W105,Records!W105=Records!X105)),"是","否"))</f>
        <v/>
      </c>
      <c r="R105" s="336">
        <f>IF(Records!AF105="","",Records!AF105)</f>
        <v/>
      </c>
      <c r="S105" s="336">
        <f>IF(Records!AG105="","",Records!AG105)</f>
        <v/>
      </c>
      <c r="T105" s="336">
        <f>IF(Records!AH105="","",Records!AH105)</f>
        <v/>
      </c>
      <c r="U105" s="336">
        <f>IF(Records!AI105="","",Records!AI105)</f>
        <v/>
      </c>
      <c r="V105" s="336">
        <f>IF(Records!AJ105="","",Records!AJ105)</f>
        <v/>
      </c>
      <c r="W105" s="336">
        <f>IF(Records!AK105="","",Records!AK105)</f>
        <v/>
      </c>
      <c r="X105" s="336">
        <f>IF(Records!AL105="","",Records!AL105)</f>
        <v/>
      </c>
      <c r="Y105" s="336">
        <f>IF(Records!AM105="","",Records!AM105)</f>
        <v/>
      </c>
      <c r="Z105" s="336">
        <f>IF(Records!AN105="","",Records!AN105)</f>
        <v/>
      </c>
    </row>
    <row r="106">
      <c r="A106" s="335">
        <f>IF(Records!A106="","",Records!A106)</f>
        <v/>
      </c>
      <c r="B106" s="335">
        <f>IF(Records!B106="","",Records!B106)</f>
        <v/>
      </c>
      <c r="C106" s="336">
        <f>IF(Records!H106="","",Records!H106)</f>
        <v/>
      </c>
      <c r="D106" s="336">
        <f>IF(Records!F106="","",Records!F106)</f>
        <v/>
      </c>
      <c r="E106" s="337">
        <f>IF(AND(COUNTIFS(Participants!$A$3:$A$26,Records!A106,Participants!$V$3:$V$26,"是")=1,Records!AB106="是",Records!AC106="是",Records!AD106="是",COUNT(Records!K106,Records!L106,Records!M106,Records!O106,Records!P106,Records!Q106,Records!R106,Records!S106,Records!T106,Records!U106,Records!V106,Records!W106,Records!X106)=13),"是","否")</f>
        <v/>
      </c>
      <c r="F106" s="336">
        <f>IF(Records!K106="","",Records!K106)</f>
        <v/>
      </c>
      <c r="G106" s="336">
        <f>IF(Records!R106="","",Records!R106)</f>
        <v/>
      </c>
      <c r="H106" s="336">
        <f>IF(Records!L106="","",Records!L106)</f>
        <v/>
      </c>
      <c r="I106" s="336">
        <f>IF(Records!M106="","",Records!M106)</f>
        <v/>
      </c>
      <c r="J106" s="336">
        <f>IF(Records!Q106="","",Records!Q106)</f>
        <v/>
      </c>
      <c r="K106" s="336">
        <f>IF(Records!W106="","",Records!W106)</f>
        <v/>
      </c>
      <c r="L106" s="336">
        <f>IF(Records!X106="","",Records!X106)</f>
        <v/>
      </c>
      <c r="M106" s="336">
        <f>IF(COUNT(Records!S106,Records!T106,Records!U106)=3,AVERAGE(Records!S106,Records!T106,Records!U106),"")</f>
        <v/>
      </c>
      <c r="N106" s="336">
        <f>IF(COUNT(Records!V106,Records!O106,Records!P106)=3,AVERAGE(Records!V106,Records!O106,Records!P106),"")</f>
        <v/>
      </c>
      <c r="O106" s="336">
        <f>IF(Records!N106="","",Records!N106)</f>
        <v/>
      </c>
      <c r="P106" s="337">
        <f>IF(Records!AA106="","",IF(Records!AA106&gt;150,"是","否"))</f>
        <v/>
      </c>
      <c r="Q106" s="337">
        <f>IF(COUNT(Records!K106,Records!L106,Records!M106,Records!O106,Records!P106,Records!Q106,Records!R106,Records!S106,Records!T106,Records!U106,Records!V106,Records!W106,Records!X106)&lt;13,"",IF(OR(AND(Records!K106=Records!L106,Records!L106=Records!M106,Records!M106=Records!O106,Records!O106=Records!P106),AND(Records!L106=Records!M106,Records!M106=Records!O106,Records!O106=Records!P106,Records!P106=Records!Q106),AND(Records!M106=Records!O106,Records!O106=Records!P106,Records!P106=Records!Q106,Records!Q106=Records!R106),AND(Records!O106=Records!P106,Records!P106=Records!Q106,Records!Q106=Records!R106,Records!R106=Records!S106),AND(Records!P106=Records!Q106,Records!Q106=Records!R106,Records!R106=Records!S106,Records!S106=Records!T106),AND(Records!Q106=Records!R106,Records!R106=Records!S106,Records!S106=Records!T106,Records!T106=Records!U106),AND(Records!R106=Records!S106,Records!S106=Records!T106,Records!T106=Records!U106,Records!U106=Records!V106),AND(Records!S106=Records!T106,Records!T106=Records!U106,Records!U106=Records!V106,Records!V106=Records!W106),AND(Records!T106=Records!U106,Records!U106=Records!V106,Records!V106=Records!W106,Records!W106=Records!X106)),"是","否"))</f>
        <v/>
      </c>
      <c r="R106" s="336">
        <f>IF(Records!AF106="","",Records!AF106)</f>
        <v/>
      </c>
      <c r="S106" s="336">
        <f>IF(Records!AG106="","",Records!AG106)</f>
        <v/>
      </c>
      <c r="T106" s="336">
        <f>IF(Records!AH106="","",Records!AH106)</f>
        <v/>
      </c>
      <c r="U106" s="336">
        <f>IF(Records!AI106="","",Records!AI106)</f>
        <v/>
      </c>
      <c r="V106" s="336">
        <f>IF(Records!AJ106="","",Records!AJ106)</f>
        <v/>
      </c>
      <c r="W106" s="336">
        <f>IF(Records!AK106="","",Records!AK106)</f>
        <v/>
      </c>
      <c r="X106" s="336">
        <f>IF(Records!AL106="","",Records!AL106)</f>
        <v/>
      </c>
      <c r="Y106" s="336">
        <f>IF(Records!AM106="","",Records!AM106)</f>
        <v/>
      </c>
      <c r="Z106" s="336">
        <f>IF(Records!AN106="","",Records!AN106)</f>
        <v/>
      </c>
    </row>
    <row r="107">
      <c r="A107" s="335">
        <f>IF(Records!A107="","",Records!A107)</f>
        <v/>
      </c>
      <c r="B107" s="335">
        <f>IF(Records!B107="","",Records!B107)</f>
        <v/>
      </c>
      <c r="C107" s="336">
        <f>IF(Records!H107="","",Records!H107)</f>
        <v/>
      </c>
      <c r="D107" s="336">
        <f>IF(Records!F107="","",Records!F107)</f>
        <v/>
      </c>
      <c r="E107" s="337">
        <f>IF(AND(COUNTIFS(Participants!$A$3:$A$26,Records!A107,Participants!$V$3:$V$26,"是")=1,Records!AB107="是",Records!AC107="是",Records!AD107="是",COUNT(Records!K107,Records!L107,Records!M107,Records!O107,Records!P107,Records!Q107,Records!R107,Records!S107,Records!T107,Records!U107,Records!V107,Records!W107,Records!X107)=13),"是","否")</f>
        <v/>
      </c>
      <c r="F107" s="336">
        <f>IF(Records!K107="","",Records!K107)</f>
        <v/>
      </c>
      <c r="G107" s="336">
        <f>IF(Records!R107="","",Records!R107)</f>
        <v/>
      </c>
      <c r="H107" s="336">
        <f>IF(Records!L107="","",Records!L107)</f>
        <v/>
      </c>
      <c r="I107" s="336">
        <f>IF(Records!M107="","",Records!M107)</f>
        <v/>
      </c>
      <c r="J107" s="336">
        <f>IF(Records!Q107="","",Records!Q107)</f>
        <v/>
      </c>
      <c r="K107" s="336">
        <f>IF(Records!W107="","",Records!W107)</f>
        <v/>
      </c>
      <c r="L107" s="336">
        <f>IF(Records!X107="","",Records!X107)</f>
        <v/>
      </c>
      <c r="M107" s="336">
        <f>IF(COUNT(Records!S107,Records!T107,Records!U107)=3,AVERAGE(Records!S107,Records!T107,Records!U107),"")</f>
        <v/>
      </c>
      <c r="N107" s="336">
        <f>IF(COUNT(Records!V107,Records!O107,Records!P107)=3,AVERAGE(Records!V107,Records!O107,Records!P107),"")</f>
        <v/>
      </c>
      <c r="O107" s="336">
        <f>IF(Records!N107="","",Records!N107)</f>
        <v/>
      </c>
      <c r="P107" s="337">
        <f>IF(Records!AA107="","",IF(Records!AA107&gt;150,"是","否"))</f>
        <v/>
      </c>
      <c r="Q107" s="337">
        <f>IF(COUNT(Records!K107,Records!L107,Records!M107,Records!O107,Records!P107,Records!Q107,Records!R107,Records!S107,Records!T107,Records!U107,Records!V107,Records!W107,Records!X107)&lt;13,"",IF(OR(AND(Records!K107=Records!L107,Records!L107=Records!M107,Records!M107=Records!O107,Records!O107=Records!P107),AND(Records!L107=Records!M107,Records!M107=Records!O107,Records!O107=Records!P107,Records!P107=Records!Q107),AND(Records!M107=Records!O107,Records!O107=Records!P107,Records!P107=Records!Q107,Records!Q107=Records!R107),AND(Records!O107=Records!P107,Records!P107=Records!Q107,Records!Q107=Records!R107,Records!R107=Records!S107),AND(Records!P107=Records!Q107,Records!Q107=Records!R107,Records!R107=Records!S107,Records!S107=Records!T107),AND(Records!Q107=Records!R107,Records!R107=Records!S107,Records!S107=Records!T107,Records!T107=Records!U107),AND(Records!R107=Records!S107,Records!S107=Records!T107,Records!T107=Records!U107,Records!U107=Records!V107),AND(Records!S107=Records!T107,Records!T107=Records!U107,Records!U107=Records!V107,Records!V107=Records!W107),AND(Records!T107=Records!U107,Records!U107=Records!V107,Records!V107=Records!W107,Records!W107=Records!X107)),"是","否"))</f>
        <v/>
      </c>
      <c r="R107" s="336">
        <f>IF(Records!AF107="","",Records!AF107)</f>
        <v/>
      </c>
      <c r="S107" s="336">
        <f>IF(Records!AG107="","",Records!AG107)</f>
        <v/>
      </c>
      <c r="T107" s="336">
        <f>IF(Records!AH107="","",Records!AH107)</f>
        <v/>
      </c>
      <c r="U107" s="336">
        <f>IF(Records!AI107="","",Records!AI107)</f>
        <v/>
      </c>
      <c r="V107" s="336">
        <f>IF(Records!AJ107="","",Records!AJ107)</f>
        <v/>
      </c>
      <c r="W107" s="336">
        <f>IF(Records!AK107="","",Records!AK107)</f>
        <v/>
      </c>
      <c r="X107" s="336">
        <f>IF(Records!AL107="","",Records!AL107)</f>
        <v/>
      </c>
      <c r="Y107" s="336">
        <f>IF(Records!AM107="","",Records!AM107)</f>
        <v/>
      </c>
      <c r="Z107" s="336">
        <f>IF(Records!AN107="","",Records!AN107)</f>
        <v/>
      </c>
    </row>
    <row r="108">
      <c r="A108" s="335">
        <f>IF(Records!A108="","",Records!A108)</f>
        <v/>
      </c>
      <c r="B108" s="335">
        <f>IF(Records!B108="","",Records!B108)</f>
        <v/>
      </c>
      <c r="C108" s="336">
        <f>IF(Records!H108="","",Records!H108)</f>
        <v/>
      </c>
      <c r="D108" s="336">
        <f>IF(Records!F108="","",Records!F108)</f>
        <v/>
      </c>
      <c r="E108" s="337">
        <f>IF(AND(COUNTIFS(Participants!$A$3:$A$26,Records!A108,Participants!$V$3:$V$26,"是")=1,Records!AB108="是",Records!AC108="是",Records!AD108="是",COUNT(Records!K108,Records!L108,Records!M108,Records!O108,Records!P108,Records!Q108,Records!R108,Records!S108,Records!T108,Records!U108,Records!V108,Records!W108,Records!X108)=13),"是","否")</f>
        <v/>
      </c>
      <c r="F108" s="336">
        <f>IF(Records!K108="","",Records!K108)</f>
        <v/>
      </c>
      <c r="G108" s="336">
        <f>IF(Records!R108="","",Records!R108)</f>
        <v/>
      </c>
      <c r="H108" s="336">
        <f>IF(Records!L108="","",Records!L108)</f>
        <v/>
      </c>
      <c r="I108" s="336">
        <f>IF(Records!M108="","",Records!M108)</f>
        <v/>
      </c>
      <c r="J108" s="336">
        <f>IF(Records!Q108="","",Records!Q108)</f>
        <v/>
      </c>
      <c r="K108" s="336">
        <f>IF(Records!W108="","",Records!W108)</f>
        <v/>
      </c>
      <c r="L108" s="336">
        <f>IF(Records!X108="","",Records!X108)</f>
        <v/>
      </c>
      <c r="M108" s="336">
        <f>IF(COUNT(Records!S108,Records!T108,Records!U108)=3,AVERAGE(Records!S108,Records!T108,Records!U108),"")</f>
        <v/>
      </c>
      <c r="N108" s="336">
        <f>IF(COUNT(Records!V108,Records!O108,Records!P108)=3,AVERAGE(Records!V108,Records!O108,Records!P108),"")</f>
        <v/>
      </c>
      <c r="O108" s="336">
        <f>IF(Records!N108="","",Records!N108)</f>
        <v/>
      </c>
      <c r="P108" s="337">
        <f>IF(Records!AA108="","",IF(Records!AA108&gt;150,"是","否"))</f>
        <v/>
      </c>
      <c r="Q108" s="337">
        <f>IF(COUNT(Records!K108,Records!L108,Records!M108,Records!O108,Records!P108,Records!Q108,Records!R108,Records!S108,Records!T108,Records!U108,Records!V108,Records!W108,Records!X108)&lt;13,"",IF(OR(AND(Records!K108=Records!L108,Records!L108=Records!M108,Records!M108=Records!O108,Records!O108=Records!P108),AND(Records!L108=Records!M108,Records!M108=Records!O108,Records!O108=Records!P108,Records!P108=Records!Q108),AND(Records!M108=Records!O108,Records!O108=Records!P108,Records!P108=Records!Q108,Records!Q108=Records!R108),AND(Records!O108=Records!P108,Records!P108=Records!Q108,Records!Q108=Records!R108,Records!R108=Records!S108),AND(Records!P108=Records!Q108,Records!Q108=Records!R108,Records!R108=Records!S108,Records!S108=Records!T108),AND(Records!Q108=Records!R108,Records!R108=Records!S108,Records!S108=Records!T108,Records!T108=Records!U108),AND(Records!R108=Records!S108,Records!S108=Records!T108,Records!T108=Records!U108,Records!U108=Records!V108),AND(Records!S108=Records!T108,Records!T108=Records!U108,Records!U108=Records!V108,Records!V108=Records!W108),AND(Records!T108=Records!U108,Records!U108=Records!V108,Records!V108=Records!W108,Records!W108=Records!X108)),"是","否"))</f>
        <v/>
      </c>
      <c r="R108" s="336">
        <f>IF(Records!AF108="","",Records!AF108)</f>
        <v/>
      </c>
      <c r="S108" s="336">
        <f>IF(Records!AG108="","",Records!AG108)</f>
        <v/>
      </c>
      <c r="T108" s="336">
        <f>IF(Records!AH108="","",Records!AH108)</f>
        <v/>
      </c>
      <c r="U108" s="336">
        <f>IF(Records!AI108="","",Records!AI108)</f>
        <v/>
      </c>
      <c r="V108" s="336">
        <f>IF(Records!AJ108="","",Records!AJ108)</f>
        <v/>
      </c>
      <c r="W108" s="336">
        <f>IF(Records!AK108="","",Records!AK108)</f>
        <v/>
      </c>
      <c r="X108" s="336">
        <f>IF(Records!AL108="","",Records!AL108)</f>
        <v/>
      </c>
      <c r="Y108" s="336">
        <f>IF(Records!AM108="","",Records!AM108)</f>
        <v/>
      </c>
      <c r="Z108" s="336">
        <f>IF(Records!AN108="","",Records!AN108)</f>
        <v/>
      </c>
    </row>
    <row r="109">
      <c r="A109" s="335">
        <f>IF(Records!A109="","",Records!A109)</f>
        <v/>
      </c>
      <c r="B109" s="335">
        <f>IF(Records!B109="","",Records!B109)</f>
        <v/>
      </c>
      <c r="C109" s="336">
        <f>IF(Records!H109="","",Records!H109)</f>
        <v/>
      </c>
      <c r="D109" s="336">
        <f>IF(Records!F109="","",Records!F109)</f>
        <v/>
      </c>
      <c r="E109" s="337">
        <f>IF(AND(COUNTIFS(Participants!$A$3:$A$26,Records!A109,Participants!$V$3:$V$26,"是")=1,Records!AB109="是",Records!AC109="是",Records!AD109="是",COUNT(Records!K109,Records!L109,Records!M109,Records!O109,Records!P109,Records!Q109,Records!R109,Records!S109,Records!T109,Records!U109,Records!V109,Records!W109,Records!X109)=13),"是","否")</f>
        <v/>
      </c>
      <c r="F109" s="336">
        <f>IF(Records!K109="","",Records!K109)</f>
        <v/>
      </c>
      <c r="G109" s="336">
        <f>IF(Records!R109="","",Records!R109)</f>
        <v/>
      </c>
      <c r="H109" s="336">
        <f>IF(Records!L109="","",Records!L109)</f>
        <v/>
      </c>
      <c r="I109" s="336">
        <f>IF(Records!M109="","",Records!M109)</f>
        <v/>
      </c>
      <c r="J109" s="336">
        <f>IF(Records!Q109="","",Records!Q109)</f>
        <v/>
      </c>
      <c r="K109" s="336">
        <f>IF(Records!W109="","",Records!W109)</f>
        <v/>
      </c>
      <c r="L109" s="336">
        <f>IF(Records!X109="","",Records!X109)</f>
        <v/>
      </c>
      <c r="M109" s="336">
        <f>IF(COUNT(Records!S109,Records!T109,Records!U109)=3,AVERAGE(Records!S109,Records!T109,Records!U109),"")</f>
        <v/>
      </c>
      <c r="N109" s="336">
        <f>IF(COUNT(Records!V109,Records!O109,Records!P109)=3,AVERAGE(Records!V109,Records!O109,Records!P109),"")</f>
        <v/>
      </c>
      <c r="O109" s="336">
        <f>IF(Records!N109="","",Records!N109)</f>
        <v/>
      </c>
      <c r="P109" s="337">
        <f>IF(Records!AA109="","",IF(Records!AA109&gt;150,"是","否"))</f>
        <v/>
      </c>
      <c r="Q109" s="337">
        <f>IF(COUNT(Records!K109,Records!L109,Records!M109,Records!O109,Records!P109,Records!Q109,Records!R109,Records!S109,Records!T109,Records!U109,Records!V109,Records!W109,Records!X109)&lt;13,"",IF(OR(AND(Records!K109=Records!L109,Records!L109=Records!M109,Records!M109=Records!O109,Records!O109=Records!P109),AND(Records!L109=Records!M109,Records!M109=Records!O109,Records!O109=Records!P109,Records!P109=Records!Q109),AND(Records!M109=Records!O109,Records!O109=Records!P109,Records!P109=Records!Q109,Records!Q109=Records!R109),AND(Records!O109=Records!P109,Records!P109=Records!Q109,Records!Q109=Records!R109,Records!R109=Records!S109),AND(Records!P109=Records!Q109,Records!Q109=Records!R109,Records!R109=Records!S109,Records!S109=Records!T109),AND(Records!Q109=Records!R109,Records!R109=Records!S109,Records!S109=Records!T109,Records!T109=Records!U109),AND(Records!R109=Records!S109,Records!S109=Records!T109,Records!T109=Records!U109,Records!U109=Records!V109),AND(Records!S109=Records!T109,Records!T109=Records!U109,Records!U109=Records!V109,Records!V109=Records!W109),AND(Records!T109=Records!U109,Records!U109=Records!V109,Records!V109=Records!W109,Records!W109=Records!X109)),"是","否"))</f>
        <v/>
      </c>
      <c r="R109" s="336">
        <f>IF(Records!AF109="","",Records!AF109)</f>
        <v/>
      </c>
      <c r="S109" s="336">
        <f>IF(Records!AG109="","",Records!AG109)</f>
        <v/>
      </c>
      <c r="T109" s="336">
        <f>IF(Records!AH109="","",Records!AH109)</f>
        <v/>
      </c>
      <c r="U109" s="336">
        <f>IF(Records!AI109="","",Records!AI109)</f>
        <v/>
      </c>
      <c r="V109" s="336">
        <f>IF(Records!AJ109="","",Records!AJ109)</f>
        <v/>
      </c>
      <c r="W109" s="336">
        <f>IF(Records!AK109="","",Records!AK109)</f>
        <v/>
      </c>
      <c r="X109" s="336">
        <f>IF(Records!AL109="","",Records!AL109)</f>
        <v/>
      </c>
      <c r="Y109" s="336">
        <f>IF(Records!AM109="","",Records!AM109)</f>
        <v/>
      </c>
      <c r="Z109" s="336">
        <f>IF(Records!AN109="","",Records!AN109)</f>
        <v/>
      </c>
    </row>
    <row r="110">
      <c r="A110" s="335">
        <f>IF(Records!A110="","",Records!A110)</f>
        <v/>
      </c>
      <c r="B110" s="335">
        <f>IF(Records!B110="","",Records!B110)</f>
        <v/>
      </c>
      <c r="C110" s="336">
        <f>IF(Records!H110="","",Records!H110)</f>
        <v/>
      </c>
      <c r="D110" s="336">
        <f>IF(Records!F110="","",Records!F110)</f>
        <v/>
      </c>
      <c r="E110" s="337">
        <f>IF(AND(COUNTIFS(Participants!$A$3:$A$26,Records!A110,Participants!$V$3:$V$26,"是")=1,Records!AB110="是",Records!AC110="是",Records!AD110="是",COUNT(Records!K110,Records!L110,Records!M110,Records!O110,Records!P110,Records!Q110,Records!R110,Records!S110,Records!T110,Records!U110,Records!V110,Records!W110,Records!X110)=13),"是","否")</f>
        <v/>
      </c>
      <c r="F110" s="336">
        <f>IF(Records!K110="","",Records!K110)</f>
        <v/>
      </c>
      <c r="G110" s="336">
        <f>IF(Records!R110="","",Records!R110)</f>
        <v/>
      </c>
      <c r="H110" s="336">
        <f>IF(Records!L110="","",Records!L110)</f>
        <v/>
      </c>
      <c r="I110" s="336">
        <f>IF(Records!M110="","",Records!M110)</f>
        <v/>
      </c>
      <c r="J110" s="336">
        <f>IF(Records!Q110="","",Records!Q110)</f>
        <v/>
      </c>
      <c r="K110" s="336">
        <f>IF(Records!W110="","",Records!W110)</f>
        <v/>
      </c>
      <c r="L110" s="336">
        <f>IF(Records!X110="","",Records!X110)</f>
        <v/>
      </c>
      <c r="M110" s="336">
        <f>IF(COUNT(Records!S110,Records!T110,Records!U110)=3,AVERAGE(Records!S110,Records!T110,Records!U110),"")</f>
        <v/>
      </c>
      <c r="N110" s="336">
        <f>IF(COUNT(Records!V110,Records!O110,Records!P110)=3,AVERAGE(Records!V110,Records!O110,Records!P110),"")</f>
        <v/>
      </c>
      <c r="O110" s="336">
        <f>IF(Records!N110="","",Records!N110)</f>
        <v/>
      </c>
      <c r="P110" s="337">
        <f>IF(Records!AA110="","",IF(Records!AA110&gt;150,"是","否"))</f>
        <v/>
      </c>
      <c r="Q110" s="337">
        <f>IF(COUNT(Records!K110,Records!L110,Records!M110,Records!O110,Records!P110,Records!Q110,Records!R110,Records!S110,Records!T110,Records!U110,Records!V110,Records!W110,Records!X110)&lt;13,"",IF(OR(AND(Records!K110=Records!L110,Records!L110=Records!M110,Records!M110=Records!O110,Records!O110=Records!P110),AND(Records!L110=Records!M110,Records!M110=Records!O110,Records!O110=Records!P110,Records!P110=Records!Q110),AND(Records!M110=Records!O110,Records!O110=Records!P110,Records!P110=Records!Q110,Records!Q110=Records!R110),AND(Records!O110=Records!P110,Records!P110=Records!Q110,Records!Q110=Records!R110,Records!R110=Records!S110),AND(Records!P110=Records!Q110,Records!Q110=Records!R110,Records!R110=Records!S110,Records!S110=Records!T110),AND(Records!Q110=Records!R110,Records!R110=Records!S110,Records!S110=Records!T110,Records!T110=Records!U110),AND(Records!R110=Records!S110,Records!S110=Records!T110,Records!T110=Records!U110,Records!U110=Records!V110),AND(Records!S110=Records!T110,Records!T110=Records!U110,Records!U110=Records!V110,Records!V110=Records!W110),AND(Records!T110=Records!U110,Records!U110=Records!V110,Records!V110=Records!W110,Records!W110=Records!X110)),"是","否"))</f>
        <v/>
      </c>
      <c r="R110" s="336">
        <f>IF(Records!AF110="","",Records!AF110)</f>
        <v/>
      </c>
      <c r="S110" s="336">
        <f>IF(Records!AG110="","",Records!AG110)</f>
        <v/>
      </c>
      <c r="T110" s="336">
        <f>IF(Records!AH110="","",Records!AH110)</f>
        <v/>
      </c>
      <c r="U110" s="336">
        <f>IF(Records!AI110="","",Records!AI110)</f>
        <v/>
      </c>
      <c r="V110" s="336">
        <f>IF(Records!AJ110="","",Records!AJ110)</f>
        <v/>
      </c>
      <c r="W110" s="336">
        <f>IF(Records!AK110="","",Records!AK110)</f>
        <v/>
      </c>
      <c r="X110" s="336">
        <f>IF(Records!AL110="","",Records!AL110)</f>
        <v/>
      </c>
      <c r="Y110" s="336">
        <f>IF(Records!AM110="","",Records!AM110)</f>
        <v/>
      </c>
      <c r="Z110" s="336">
        <f>IF(Records!AN110="","",Records!AN110)</f>
        <v/>
      </c>
    </row>
    <row r="111">
      <c r="A111" s="335">
        <f>IF(Records!A111="","",Records!A111)</f>
        <v/>
      </c>
      <c r="B111" s="335">
        <f>IF(Records!B111="","",Records!B111)</f>
        <v/>
      </c>
      <c r="C111" s="336">
        <f>IF(Records!H111="","",Records!H111)</f>
        <v/>
      </c>
      <c r="D111" s="336">
        <f>IF(Records!F111="","",Records!F111)</f>
        <v/>
      </c>
      <c r="E111" s="337">
        <f>IF(AND(COUNTIFS(Participants!$A$3:$A$26,Records!A111,Participants!$V$3:$V$26,"是")=1,Records!AB111="是",Records!AC111="是",Records!AD111="是",COUNT(Records!K111,Records!L111,Records!M111,Records!O111,Records!P111,Records!Q111,Records!R111,Records!S111,Records!T111,Records!U111,Records!V111,Records!W111,Records!X111)=13),"是","否")</f>
        <v/>
      </c>
      <c r="F111" s="336">
        <f>IF(Records!K111="","",Records!K111)</f>
        <v/>
      </c>
      <c r="G111" s="336">
        <f>IF(Records!R111="","",Records!R111)</f>
        <v/>
      </c>
      <c r="H111" s="336">
        <f>IF(Records!L111="","",Records!L111)</f>
        <v/>
      </c>
      <c r="I111" s="336">
        <f>IF(Records!M111="","",Records!M111)</f>
        <v/>
      </c>
      <c r="J111" s="336">
        <f>IF(Records!Q111="","",Records!Q111)</f>
        <v/>
      </c>
      <c r="K111" s="336">
        <f>IF(Records!W111="","",Records!W111)</f>
        <v/>
      </c>
      <c r="L111" s="336">
        <f>IF(Records!X111="","",Records!X111)</f>
        <v/>
      </c>
      <c r="M111" s="336">
        <f>IF(COUNT(Records!S111,Records!T111,Records!U111)=3,AVERAGE(Records!S111,Records!T111,Records!U111),"")</f>
        <v/>
      </c>
      <c r="N111" s="336">
        <f>IF(COUNT(Records!V111,Records!O111,Records!P111)=3,AVERAGE(Records!V111,Records!O111,Records!P111),"")</f>
        <v/>
      </c>
      <c r="O111" s="336">
        <f>IF(Records!N111="","",Records!N111)</f>
        <v/>
      </c>
      <c r="P111" s="337">
        <f>IF(Records!AA111="","",IF(Records!AA111&gt;150,"是","否"))</f>
        <v/>
      </c>
      <c r="Q111" s="337">
        <f>IF(COUNT(Records!K111,Records!L111,Records!M111,Records!O111,Records!P111,Records!Q111,Records!R111,Records!S111,Records!T111,Records!U111,Records!V111,Records!W111,Records!X111)&lt;13,"",IF(OR(AND(Records!K111=Records!L111,Records!L111=Records!M111,Records!M111=Records!O111,Records!O111=Records!P111),AND(Records!L111=Records!M111,Records!M111=Records!O111,Records!O111=Records!P111,Records!P111=Records!Q111),AND(Records!M111=Records!O111,Records!O111=Records!P111,Records!P111=Records!Q111,Records!Q111=Records!R111),AND(Records!O111=Records!P111,Records!P111=Records!Q111,Records!Q111=Records!R111,Records!R111=Records!S111),AND(Records!P111=Records!Q111,Records!Q111=Records!R111,Records!R111=Records!S111,Records!S111=Records!T111),AND(Records!Q111=Records!R111,Records!R111=Records!S111,Records!S111=Records!T111,Records!T111=Records!U111),AND(Records!R111=Records!S111,Records!S111=Records!T111,Records!T111=Records!U111,Records!U111=Records!V111),AND(Records!S111=Records!T111,Records!T111=Records!U111,Records!U111=Records!V111,Records!V111=Records!W111),AND(Records!T111=Records!U111,Records!U111=Records!V111,Records!V111=Records!W111,Records!W111=Records!X111)),"是","否"))</f>
        <v/>
      </c>
      <c r="R111" s="336">
        <f>IF(Records!AF111="","",Records!AF111)</f>
        <v/>
      </c>
      <c r="S111" s="336">
        <f>IF(Records!AG111="","",Records!AG111)</f>
        <v/>
      </c>
      <c r="T111" s="336">
        <f>IF(Records!AH111="","",Records!AH111)</f>
        <v/>
      </c>
      <c r="U111" s="336">
        <f>IF(Records!AI111="","",Records!AI111)</f>
        <v/>
      </c>
      <c r="V111" s="336">
        <f>IF(Records!AJ111="","",Records!AJ111)</f>
        <v/>
      </c>
      <c r="W111" s="336">
        <f>IF(Records!AK111="","",Records!AK111)</f>
        <v/>
      </c>
      <c r="X111" s="336">
        <f>IF(Records!AL111="","",Records!AL111)</f>
        <v/>
      </c>
      <c r="Y111" s="336">
        <f>IF(Records!AM111="","",Records!AM111)</f>
        <v/>
      </c>
      <c r="Z111" s="336">
        <f>IF(Records!AN111="","",Records!AN111)</f>
        <v/>
      </c>
    </row>
    <row r="112">
      <c r="A112" s="335">
        <f>IF(Records!A112="","",Records!A112)</f>
        <v/>
      </c>
      <c r="B112" s="335">
        <f>IF(Records!B112="","",Records!B112)</f>
        <v/>
      </c>
      <c r="C112" s="336">
        <f>IF(Records!H112="","",Records!H112)</f>
        <v/>
      </c>
      <c r="D112" s="336">
        <f>IF(Records!F112="","",Records!F112)</f>
        <v/>
      </c>
      <c r="E112" s="337">
        <f>IF(AND(COUNTIFS(Participants!$A$3:$A$26,Records!A112,Participants!$V$3:$V$26,"是")=1,Records!AB112="是",Records!AC112="是",Records!AD112="是",COUNT(Records!K112,Records!L112,Records!M112,Records!O112,Records!P112,Records!Q112,Records!R112,Records!S112,Records!T112,Records!U112,Records!V112,Records!W112,Records!X112)=13),"是","否")</f>
        <v/>
      </c>
      <c r="F112" s="336">
        <f>IF(Records!K112="","",Records!K112)</f>
        <v/>
      </c>
      <c r="G112" s="336">
        <f>IF(Records!R112="","",Records!R112)</f>
        <v/>
      </c>
      <c r="H112" s="336">
        <f>IF(Records!L112="","",Records!L112)</f>
        <v/>
      </c>
      <c r="I112" s="336">
        <f>IF(Records!M112="","",Records!M112)</f>
        <v/>
      </c>
      <c r="J112" s="336">
        <f>IF(Records!Q112="","",Records!Q112)</f>
        <v/>
      </c>
      <c r="K112" s="336">
        <f>IF(Records!W112="","",Records!W112)</f>
        <v/>
      </c>
      <c r="L112" s="336">
        <f>IF(Records!X112="","",Records!X112)</f>
        <v/>
      </c>
      <c r="M112" s="336">
        <f>IF(COUNT(Records!S112,Records!T112,Records!U112)=3,AVERAGE(Records!S112,Records!T112,Records!U112),"")</f>
        <v/>
      </c>
      <c r="N112" s="336">
        <f>IF(COUNT(Records!V112,Records!O112,Records!P112)=3,AVERAGE(Records!V112,Records!O112,Records!P112),"")</f>
        <v/>
      </c>
      <c r="O112" s="336">
        <f>IF(Records!N112="","",Records!N112)</f>
        <v/>
      </c>
      <c r="P112" s="337">
        <f>IF(Records!AA112="","",IF(Records!AA112&gt;150,"是","否"))</f>
        <v/>
      </c>
      <c r="Q112" s="337">
        <f>IF(COUNT(Records!K112,Records!L112,Records!M112,Records!O112,Records!P112,Records!Q112,Records!R112,Records!S112,Records!T112,Records!U112,Records!V112,Records!W112,Records!X112)&lt;13,"",IF(OR(AND(Records!K112=Records!L112,Records!L112=Records!M112,Records!M112=Records!O112,Records!O112=Records!P112),AND(Records!L112=Records!M112,Records!M112=Records!O112,Records!O112=Records!P112,Records!P112=Records!Q112),AND(Records!M112=Records!O112,Records!O112=Records!P112,Records!P112=Records!Q112,Records!Q112=Records!R112),AND(Records!O112=Records!P112,Records!P112=Records!Q112,Records!Q112=Records!R112,Records!R112=Records!S112),AND(Records!P112=Records!Q112,Records!Q112=Records!R112,Records!R112=Records!S112,Records!S112=Records!T112),AND(Records!Q112=Records!R112,Records!R112=Records!S112,Records!S112=Records!T112,Records!T112=Records!U112),AND(Records!R112=Records!S112,Records!S112=Records!T112,Records!T112=Records!U112,Records!U112=Records!V112),AND(Records!S112=Records!T112,Records!T112=Records!U112,Records!U112=Records!V112,Records!V112=Records!W112),AND(Records!T112=Records!U112,Records!U112=Records!V112,Records!V112=Records!W112,Records!W112=Records!X112)),"是","否"))</f>
        <v/>
      </c>
      <c r="R112" s="336">
        <f>IF(Records!AF112="","",Records!AF112)</f>
        <v/>
      </c>
      <c r="S112" s="336">
        <f>IF(Records!AG112="","",Records!AG112)</f>
        <v/>
      </c>
      <c r="T112" s="336">
        <f>IF(Records!AH112="","",Records!AH112)</f>
        <v/>
      </c>
      <c r="U112" s="336">
        <f>IF(Records!AI112="","",Records!AI112)</f>
        <v/>
      </c>
      <c r="V112" s="336">
        <f>IF(Records!AJ112="","",Records!AJ112)</f>
        <v/>
      </c>
      <c r="W112" s="336">
        <f>IF(Records!AK112="","",Records!AK112)</f>
        <v/>
      </c>
      <c r="X112" s="336">
        <f>IF(Records!AL112="","",Records!AL112)</f>
        <v/>
      </c>
      <c r="Y112" s="336">
        <f>IF(Records!AM112="","",Records!AM112)</f>
        <v/>
      </c>
      <c r="Z112" s="336">
        <f>IF(Records!AN112="","",Records!AN112)</f>
        <v/>
      </c>
    </row>
    <row r="113">
      <c r="A113" s="335">
        <f>IF(Records!A113="","",Records!A113)</f>
        <v/>
      </c>
      <c r="B113" s="335">
        <f>IF(Records!B113="","",Records!B113)</f>
        <v/>
      </c>
      <c r="C113" s="336">
        <f>IF(Records!H113="","",Records!H113)</f>
        <v/>
      </c>
      <c r="D113" s="336">
        <f>IF(Records!F113="","",Records!F113)</f>
        <v/>
      </c>
      <c r="E113" s="337">
        <f>IF(AND(COUNTIFS(Participants!$A$3:$A$26,Records!A113,Participants!$V$3:$V$26,"是")=1,Records!AB113="是",Records!AC113="是",Records!AD113="是",COUNT(Records!K113,Records!L113,Records!M113,Records!O113,Records!P113,Records!Q113,Records!R113,Records!S113,Records!T113,Records!U113,Records!V113,Records!W113,Records!X113)=13),"是","否")</f>
        <v/>
      </c>
      <c r="F113" s="336">
        <f>IF(Records!K113="","",Records!K113)</f>
        <v/>
      </c>
      <c r="G113" s="336">
        <f>IF(Records!R113="","",Records!R113)</f>
        <v/>
      </c>
      <c r="H113" s="336">
        <f>IF(Records!L113="","",Records!L113)</f>
        <v/>
      </c>
      <c r="I113" s="336">
        <f>IF(Records!M113="","",Records!M113)</f>
        <v/>
      </c>
      <c r="J113" s="336">
        <f>IF(Records!Q113="","",Records!Q113)</f>
        <v/>
      </c>
      <c r="K113" s="336">
        <f>IF(Records!W113="","",Records!W113)</f>
        <v/>
      </c>
      <c r="L113" s="336">
        <f>IF(Records!X113="","",Records!X113)</f>
        <v/>
      </c>
      <c r="M113" s="336">
        <f>IF(COUNT(Records!S113,Records!T113,Records!U113)=3,AVERAGE(Records!S113,Records!T113,Records!U113),"")</f>
        <v/>
      </c>
      <c r="N113" s="336">
        <f>IF(COUNT(Records!V113,Records!O113,Records!P113)=3,AVERAGE(Records!V113,Records!O113,Records!P113),"")</f>
        <v/>
      </c>
      <c r="O113" s="336">
        <f>IF(Records!N113="","",Records!N113)</f>
        <v/>
      </c>
      <c r="P113" s="337">
        <f>IF(Records!AA113="","",IF(Records!AA113&gt;150,"是","否"))</f>
        <v/>
      </c>
      <c r="Q113" s="337">
        <f>IF(COUNT(Records!K113,Records!L113,Records!M113,Records!O113,Records!P113,Records!Q113,Records!R113,Records!S113,Records!T113,Records!U113,Records!V113,Records!W113,Records!X113)&lt;13,"",IF(OR(AND(Records!K113=Records!L113,Records!L113=Records!M113,Records!M113=Records!O113,Records!O113=Records!P113),AND(Records!L113=Records!M113,Records!M113=Records!O113,Records!O113=Records!P113,Records!P113=Records!Q113),AND(Records!M113=Records!O113,Records!O113=Records!P113,Records!P113=Records!Q113,Records!Q113=Records!R113),AND(Records!O113=Records!P113,Records!P113=Records!Q113,Records!Q113=Records!R113,Records!R113=Records!S113),AND(Records!P113=Records!Q113,Records!Q113=Records!R113,Records!R113=Records!S113,Records!S113=Records!T113),AND(Records!Q113=Records!R113,Records!R113=Records!S113,Records!S113=Records!T113,Records!T113=Records!U113),AND(Records!R113=Records!S113,Records!S113=Records!T113,Records!T113=Records!U113,Records!U113=Records!V113),AND(Records!S113=Records!T113,Records!T113=Records!U113,Records!U113=Records!V113,Records!V113=Records!W113),AND(Records!T113=Records!U113,Records!U113=Records!V113,Records!V113=Records!W113,Records!W113=Records!X113)),"是","否"))</f>
        <v/>
      </c>
      <c r="R113" s="336">
        <f>IF(Records!AF113="","",Records!AF113)</f>
        <v/>
      </c>
      <c r="S113" s="336">
        <f>IF(Records!AG113="","",Records!AG113)</f>
        <v/>
      </c>
      <c r="T113" s="336">
        <f>IF(Records!AH113="","",Records!AH113)</f>
        <v/>
      </c>
      <c r="U113" s="336">
        <f>IF(Records!AI113="","",Records!AI113)</f>
        <v/>
      </c>
      <c r="V113" s="336">
        <f>IF(Records!AJ113="","",Records!AJ113)</f>
        <v/>
      </c>
      <c r="W113" s="336">
        <f>IF(Records!AK113="","",Records!AK113)</f>
        <v/>
      </c>
      <c r="X113" s="336">
        <f>IF(Records!AL113="","",Records!AL113)</f>
        <v/>
      </c>
      <c r="Y113" s="336">
        <f>IF(Records!AM113="","",Records!AM113)</f>
        <v/>
      </c>
      <c r="Z113" s="336">
        <f>IF(Records!AN113="","",Records!AN113)</f>
        <v/>
      </c>
    </row>
    <row r="114">
      <c r="A114" s="335">
        <f>IF(Records!A114="","",Records!A114)</f>
        <v/>
      </c>
      <c r="B114" s="335">
        <f>IF(Records!B114="","",Records!B114)</f>
        <v/>
      </c>
      <c r="C114" s="336">
        <f>IF(Records!H114="","",Records!H114)</f>
        <v/>
      </c>
      <c r="D114" s="336">
        <f>IF(Records!F114="","",Records!F114)</f>
        <v/>
      </c>
      <c r="E114" s="337">
        <f>IF(AND(COUNTIFS(Participants!$A$3:$A$26,Records!A114,Participants!$V$3:$V$26,"是")=1,Records!AB114="是",Records!AC114="是",Records!AD114="是",COUNT(Records!K114,Records!L114,Records!M114,Records!O114,Records!P114,Records!Q114,Records!R114,Records!S114,Records!T114,Records!U114,Records!V114,Records!W114,Records!X114)=13),"是","否")</f>
        <v/>
      </c>
      <c r="F114" s="336">
        <f>IF(Records!K114="","",Records!K114)</f>
        <v/>
      </c>
      <c r="G114" s="336">
        <f>IF(Records!R114="","",Records!R114)</f>
        <v/>
      </c>
      <c r="H114" s="336">
        <f>IF(Records!L114="","",Records!L114)</f>
        <v/>
      </c>
      <c r="I114" s="336">
        <f>IF(Records!M114="","",Records!M114)</f>
        <v/>
      </c>
      <c r="J114" s="336">
        <f>IF(Records!Q114="","",Records!Q114)</f>
        <v/>
      </c>
      <c r="K114" s="336">
        <f>IF(Records!W114="","",Records!W114)</f>
        <v/>
      </c>
      <c r="L114" s="336">
        <f>IF(Records!X114="","",Records!X114)</f>
        <v/>
      </c>
      <c r="M114" s="336">
        <f>IF(COUNT(Records!S114,Records!T114,Records!U114)=3,AVERAGE(Records!S114,Records!T114,Records!U114),"")</f>
        <v/>
      </c>
      <c r="N114" s="336">
        <f>IF(COUNT(Records!V114,Records!O114,Records!P114)=3,AVERAGE(Records!V114,Records!O114,Records!P114),"")</f>
        <v/>
      </c>
      <c r="O114" s="336">
        <f>IF(Records!N114="","",Records!N114)</f>
        <v/>
      </c>
      <c r="P114" s="337">
        <f>IF(Records!AA114="","",IF(Records!AA114&gt;150,"是","否"))</f>
        <v/>
      </c>
      <c r="Q114" s="337">
        <f>IF(COUNT(Records!K114,Records!L114,Records!M114,Records!O114,Records!P114,Records!Q114,Records!R114,Records!S114,Records!T114,Records!U114,Records!V114,Records!W114,Records!X114)&lt;13,"",IF(OR(AND(Records!K114=Records!L114,Records!L114=Records!M114,Records!M114=Records!O114,Records!O114=Records!P114),AND(Records!L114=Records!M114,Records!M114=Records!O114,Records!O114=Records!P114,Records!P114=Records!Q114),AND(Records!M114=Records!O114,Records!O114=Records!P114,Records!P114=Records!Q114,Records!Q114=Records!R114),AND(Records!O114=Records!P114,Records!P114=Records!Q114,Records!Q114=Records!R114,Records!R114=Records!S114),AND(Records!P114=Records!Q114,Records!Q114=Records!R114,Records!R114=Records!S114,Records!S114=Records!T114),AND(Records!Q114=Records!R114,Records!R114=Records!S114,Records!S114=Records!T114,Records!T114=Records!U114),AND(Records!R114=Records!S114,Records!S114=Records!T114,Records!T114=Records!U114,Records!U114=Records!V114),AND(Records!S114=Records!T114,Records!T114=Records!U114,Records!U114=Records!V114,Records!V114=Records!W114),AND(Records!T114=Records!U114,Records!U114=Records!V114,Records!V114=Records!W114,Records!W114=Records!X114)),"是","否"))</f>
        <v/>
      </c>
      <c r="R114" s="336">
        <f>IF(Records!AF114="","",Records!AF114)</f>
        <v/>
      </c>
      <c r="S114" s="336">
        <f>IF(Records!AG114="","",Records!AG114)</f>
        <v/>
      </c>
      <c r="T114" s="336">
        <f>IF(Records!AH114="","",Records!AH114)</f>
        <v/>
      </c>
      <c r="U114" s="336">
        <f>IF(Records!AI114="","",Records!AI114)</f>
        <v/>
      </c>
      <c r="V114" s="336">
        <f>IF(Records!AJ114="","",Records!AJ114)</f>
        <v/>
      </c>
      <c r="W114" s="336">
        <f>IF(Records!AK114="","",Records!AK114)</f>
        <v/>
      </c>
      <c r="X114" s="336">
        <f>IF(Records!AL114="","",Records!AL114)</f>
        <v/>
      </c>
      <c r="Y114" s="336">
        <f>IF(Records!AM114="","",Records!AM114)</f>
        <v/>
      </c>
      <c r="Z114" s="336">
        <f>IF(Records!AN114="","",Records!AN114)</f>
        <v/>
      </c>
    </row>
    <row r="115">
      <c r="A115" s="335">
        <f>IF(Records!A115="","",Records!A115)</f>
        <v/>
      </c>
      <c r="B115" s="335">
        <f>IF(Records!B115="","",Records!B115)</f>
        <v/>
      </c>
      <c r="C115" s="336">
        <f>IF(Records!H115="","",Records!H115)</f>
        <v/>
      </c>
      <c r="D115" s="336">
        <f>IF(Records!F115="","",Records!F115)</f>
        <v/>
      </c>
      <c r="E115" s="337">
        <f>IF(AND(COUNTIFS(Participants!$A$3:$A$26,Records!A115,Participants!$V$3:$V$26,"是")=1,Records!AB115="是",Records!AC115="是",Records!AD115="是",COUNT(Records!K115,Records!L115,Records!M115,Records!O115,Records!P115,Records!Q115,Records!R115,Records!S115,Records!T115,Records!U115,Records!V115,Records!W115,Records!X115)=13),"是","否")</f>
        <v/>
      </c>
      <c r="F115" s="336">
        <f>IF(Records!K115="","",Records!K115)</f>
        <v/>
      </c>
      <c r="G115" s="336">
        <f>IF(Records!R115="","",Records!R115)</f>
        <v/>
      </c>
      <c r="H115" s="336">
        <f>IF(Records!L115="","",Records!L115)</f>
        <v/>
      </c>
      <c r="I115" s="336">
        <f>IF(Records!M115="","",Records!M115)</f>
        <v/>
      </c>
      <c r="J115" s="336">
        <f>IF(Records!Q115="","",Records!Q115)</f>
        <v/>
      </c>
      <c r="K115" s="336">
        <f>IF(Records!W115="","",Records!W115)</f>
        <v/>
      </c>
      <c r="L115" s="336">
        <f>IF(Records!X115="","",Records!X115)</f>
        <v/>
      </c>
      <c r="M115" s="336">
        <f>IF(COUNT(Records!S115,Records!T115,Records!U115)=3,AVERAGE(Records!S115,Records!T115,Records!U115),"")</f>
        <v/>
      </c>
      <c r="N115" s="336">
        <f>IF(COUNT(Records!V115,Records!O115,Records!P115)=3,AVERAGE(Records!V115,Records!O115,Records!P115),"")</f>
        <v/>
      </c>
      <c r="O115" s="336">
        <f>IF(Records!N115="","",Records!N115)</f>
        <v/>
      </c>
      <c r="P115" s="337">
        <f>IF(Records!AA115="","",IF(Records!AA115&gt;150,"是","否"))</f>
        <v/>
      </c>
      <c r="Q115" s="337">
        <f>IF(COUNT(Records!K115,Records!L115,Records!M115,Records!O115,Records!P115,Records!Q115,Records!R115,Records!S115,Records!T115,Records!U115,Records!V115,Records!W115,Records!X115)&lt;13,"",IF(OR(AND(Records!K115=Records!L115,Records!L115=Records!M115,Records!M115=Records!O115,Records!O115=Records!P115),AND(Records!L115=Records!M115,Records!M115=Records!O115,Records!O115=Records!P115,Records!P115=Records!Q115),AND(Records!M115=Records!O115,Records!O115=Records!P115,Records!P115=Records!Q115,Records!Q115=Records!R115),AND(Records!O115=Records!P115,Records!P115=Records!Q115,Records!Q115=Records!R115,Records!R115=Records!S115),AND(Records!P115=Records!Q115,Records!Q115=Records!R115,Records!R115=Records!S115,Records!S115=Records!T115),AND(Records!Q115=Records!R115,Records!R115=Records!S115,Records!S115=Records!T115,Records!T115=Records!U115),AND(Records!R115=Records!S115,Records!S115=Records!T115,Records!T115=Records!U115,Records!U115=Records!V115),AND(Records!S115=Records!T115,Records!T115=Records!U115,Records!U115=Records!V115,Records!V115=Records!W115),AND(Records!T115=Records!U115,Records!U115=Records!V115,Records!V115=Records!W115,Records!W115=Records!X115)),"是","否"))</f>
        <v/>
      </c>
      <c r="R115" s="336">
        <f>IF(Records!AF115="","",Records!AF115)</f>
        <v/>
      </c>
      <c r="S115" s="336">
        <f>IF(Records!AG115="","",Records!AG115)</f>
        <v/>
      </c>
      <c r="T115" s="336">
        <f>IF(Records!AH115="","",Records!AH115)</f>
        <v/>
      </c>
      <c r="U115" s="336">
        <f>IF(Records!AI115="","",Records!AI115)</f>
        <v/>
      </c>
      <c r="V115" s="336">
        <f>IF(Records!AJ115="","",Records!AJ115)</f>
        <v/>
      </c>
      <c r="W115" s="336">
        <f>IF(Records!AK115="","",Records!AK115)</f>
        <v/>
      </c>
      <c r="X115" s="336">
        <f>IF(Records!AL115="","",Records!AL115)</f>
        <v/>
      </c>
      <c r="Y115" s="336">
        <f>IF(Records!AM115="","",Records!AM115)</f>
        <v/>
      </c>
      <c r="Z115" s="336">
        <f>IF(Records!AN115="","",Records!AN115)</f>
        <v/>
      </c>
    </row>
    <row r="116">
      <c r="A116" s="335">
        <f>IF(Records!A116="","",Records!A116)</f>
        <v/>
      </c>
      <c r="B116" s="335">
        <f>IF(Records!B116="","",Records!B116)</f>
        <v/>
      </c>
      <c r="C116" s="336">
        <f>IF(Records!H116="","",Records!H116)</f>
        <v/>
      </c>
      <c r="D116" s="336">
        <f>IF(Records!F116="","",Records!F116)</f>
        <v/>
      </c>
      <c r="E116" s="337">
        <f>IF(AND(COUNTIFS(Participants!$A$3:$A$26,Records!A116,Participants!$V$3:$V$26,"是")=1,Records!AB116="是",Records!AC116="是",Records!AD116="是",COUNT(Records!K116,Records!L116,Records!M116,Records!O116,Records!P116,Records!Q116,Records!R116,Records!S116,Records!T116,Records!U116,Records!V116,Records!W116,Records!X116)=13),"是","否")</f>
        <v/>
      </c>
      <c r="F116" s="336">
        <f>IF(Records!K116="","",Records!K116)</f>
        <v/>
      </c>
      <c r="G116" s="336">
        <f>IF(Records!R116="","",Records!R116)</f>
        <v/>
      </c>
      <c r="H116" s="336">
        <f>IF(Records!L116="","",Records!L116)</f>
        <v/>
      </c>
      <c r="I116" s="336">
        <f>IF(Records!M116="","",Records!M116)</f>
        <v/>
      </c>
      <c r="J116" s="336">
        <f>IF(Records!Q116="","",Records!Q116)</f>
        <v/>
      </c>
      <c r="K116" s="336">
        <f>IF(Records!W116="","",Records!W116)</f>
        <v/>
      </c>
      <c r="L116" s="336">
        <f>IF(Records!X116="","",Records!X116)</f>
        <v/>
      </c>
      <c r="M116" s="336">
        <f>IF(COUNT(Records!S116,Records!T116,Records!U116)=3,AVERAGE(Records!S116,Records!T116,Records!U116),"")</f>
        <v/>
      </c>
      <c r="N116" s="336">
        <f>IF(COUNT(Records!V116,Records!O116,Records!P116)=3,AVERAGE(Records!V116,Records!O116,Records!P116),"")</f>
        <v/>
      </c>
      <c r="O116" s="336">
        <f>IF(Records!N116="","",Records!N116)</f>
        <v/>
      </c>
      <c r="P116" s="337">
        <f>IF(Records!AA116="","",IF(Records!AA116&gt;150,"是","否"))</f>
        <v/>
      </c>
      <c r="Q116" s="337">
        <f>IF(COUNT(Records!K116,Records!L116,Records!M116,Records!O116,Records!P116,Records!Q116,Records!R116,Records!S116,Records!T116,Records!U116,Records!V116,Records!W116,Records!X116)&lt;13,"",IF(OR(AND(Records!K116=Records!L116,Records!L116=Records!M116,Records!M116=Records!O116,Records!O116=Records!P116),AND(Records!L116=Records!M116,Records!M116=Records!O116,Records!O116=Records!P116,Records!P116=Records!Q116),AND(Records!M116=Records!O116,Records!O116=Records!P116,Records!P116=Records!Q116,Records!Q116=Records!R116),AND(Records!O116=Records!P116,Records!P116=Records!Q116,Records!Q116=Records!R116,Records!R116=Records!S116),AND(Records!P116=Records!Q116,Records!Q116=Records!R116,Records!R116=Records!S116,Records!S116=Records!T116),AND(Records!Q116=Records!R116,Records!R116=Records!S116,Records!S116=Records!T116,Records!T116=Records!U116),AND(Records!R116=Records!S116,Records!S116=Records!T116,Records!T116=Records!U116,Records!U116=Records!V116),AND(Records!S116=Records!T116,Records!T116=Records!U116,Records!U116=Records!V116,Records!V116=Records!W116),AND(Records!T116=Records!U116,Records!U116=Records!V116,Records!V116=Records!W116,Records!W116=Records!X116)),"是","否"))</f>
        <v/>
      </c>
      <c r="R116" s="336">
        <f>IF(Records!AF116="","",Records!AF116)</f>
        <v/>
      </c>
      <c r="S116" s="336">
        <f>IF(Records!AG116="","",Records!AG116)</f>
        <v/>
      </c>
      <c r="T116" s="336">
        <f>IF(Records!AH116="","",Records!AH116)</f>
        <v/>
      </c>
      <c r="U116" s="336">
        <f>IF(Records!AI116="","",Records!AI116)</f>
        <v/>
      </c>
      <c r="V116" s="336">
        <f>IF(Records!AJ116="","",Records!AJ116)</f>
        <v/>
      </c>
      <c r="W116" s="336">
        <f>IF(Records!AK116="","",Records!AK116)</f>
        <v/>
      </c>
      <c r="X116" s="336">
        <f>IF(Records!AL116="","",Records!AL116)</f>
        <v/>
      </c>
      <c r="Y116" s="336">
        <f>IF(Records!AM116="","",Records!AM116)</f>
        <v/>
      </c>
      <c r="Z116" s="336">
        <f>IF(Records!AN116="","",Records!AN116)</f>
        <v/>
      </c>
    </row>
    <row r="117">
      <c r="A117" s="335">
        <f>IF(Records!A117="","",Records!A117)</f>
        <v/>
      </c>
      <c r="B117" s="335">
        <f>IF(Records!B117="","",Records!B117)</f>
        <v/>
      </c>
      <c r="C117" s="336">
        <f>IF(Records!H117="","",Records!H117)</f>
        <v/>
      </c>
      <c r="D117" s="336">
        <f>IF(Records!F117="","",Records!F117)</f>
        <v/>
      </c>
      <c r="E117" s="337">
        <f>IF(AND(COUNTIFS(Participants!$A$3:$A$26,Records!A117,Participants!$V$3:$V$26,"是")=1,Records!AB117="是",Records!AC117="是",Records!AD117="是",COUNT(Records!K117,Records!L117,Records!M117,Records!O117,Records!P117,Records!Q117,Records!R117,Records!S117,Records!T117,Records!U117,Records!V117,Records!W117,Records!X117)=13),"是","否")</f>
        <v/>
      </c>
      <c r="F117" s="336">
        <f>IF(Records!K117="","",Records!K117)</f>
        <v/>
      </c>
      <c r="G117" s="336">
        <f>IF(Records!R117="","",Records!R117)</f>
        <v/>
      </c>
      <c r="H117" s="336">
        <f>IF(Records!L117="","",Records!L117)</f>
        <v/>
      </c>
      <c r="I117" s="336">
        <f>IF(Records!M117="","",Records!M117)</f>
        <v/>
      </c>
      <c r="J117" s="336">
        <f>IF(Records!Q117="","",Records!Q117)</f>
        <v/>
      </c>
      <c r="K117" s="336">
        <f>IF(Records!W117="","",Records!W117)</f>
        <v/>
      </c>
      <c r="L117" s="336">
        <f>IF(Records!X117="","",Records!X117)</f>
        <v/>
      </c>
      <c r="M117" s="336">
        <f>IF(COUNT(Records!S117,Records!T117,Records!U117)=3,AVERAGE(Records!S117,Records!T117,Records!U117),"")</f>
        <v/>
      </c>
      <c r="N117" s="336">
        <f>IF(COUNT(Records!V117,Records!O117,Records!P117)=3,AVERAGE(Records!V117,Records!O117,Records!P117),"")</f>
        <v/>
      </c>
      <c r="O117" s="336">
        <f>IF(Records!N117="","",Records!N117)</f>
        <v/>
      </c>
      <c r="P117" s="337">
        <f>IF(Records!AA117="","",IF(Records!AA117&gt;150,"是","否"))</f>
        <v/>
      </c>
      <c r="Q117" s="337">
        <f>IF(COUNT(Records!K117,Records!L117,Records!M117,Records!O117,Records!P117,Records!Q117,Records!R117,Records!S117,Records!T117,Records!U117,Records!V117,Records!W117,Records!X117)&lt;13,"",IF(OR(AND(Records!K117=Records!L117,Records!L117=Records!M117,Records!M117=Records!O117,Records!O117=Records!P117),AND(Records!L117=Records!M117,Records!M117=Records!O117,Records!O117=Records!P117,Records!P117=Records!Q117),AND(Records!M117=Records!O117,Records!O117=Records!P117,Records!P117=Records!Q117,Records!Q117=Records!R117),AND(Records!O117=Records!P117,Records!P117=Records!Q117,Records!Q117=Records!R117,Records!R117=Records!S117),AND(Records!P117=Records!Q117,Records!Q117=Records!R117,Records!R117=Records!S117,Records!S117=Records!T117),AND(Records!Q117=Records!R117,Records!R117=Records!S117,Records!S117=Records!T117,Records!T117=Records!U117),AND(Records!R117=Records!S117,Records!S117=Records!T117,Records!T117=Records!U117,Records!U117=Records!V117),AND(Records!S117=Records!T117,Records!T117=Records!U117,Records!U117=Records!V117,Records!V117=Records!W117),AND(Records!T117=Records!U117,Records!U117=Records!V117,Records!V117=Records!W117,Records!W117=Records!X117)),"是","否"))</f>
        <v/>
      </c>
      <c r="R117" s="336">
        <f>IF(Records!AF117="","",Records!AF117)</f>
        <v/>
      </c>
      <c r="S117" s="336">
        <f>IF(Records!AG117="","",Records!AG117)</f>
        <v/>
      </c>
      <c r="T117" s="336">
        <f>IF(Records!AH117="","",Records!AH117)</f>
        <v/>
      </c>
      <c r="U117" s="336">
        <f>IF(Records!AI117="","",Records!AI117)</f>
        <v/>
      </c>
      <c r="V117" s="336">
        <f>IF(Records!AJ117="","",Records!AJ117)</f>
        <v/>
      </c>
      <c r="W117" s="336">
        <f>IF(Records!AK117="","",Records!AK117)</f>
        <v/>
      </c>
      <c r="X117" s="336">
        <f>IF(Records!AL117="","",Records!AL117)</f>
        <v/>
      </c>
      <c r="Y117" s="336">
        <f>IF(Records!AM117="","",Records!AM117)</f>
        <v/>
      </c>
      <c r="Z117" s="336">
        <f>IF(Records!AN117="","",Records!AN117)</f>
        <v/>
      </c>
    </row>
    <row r="118">
      <c r="A118" s="335">
        <f>IF(Records!A118="","",Records!A118)</f>
        <v/>
      </c>
      <c r="B118" s="335">
        <f>IF(Records!B118="","",Records!B118)</f>
        <v/>
      </c>
      <c r="C118" s="336">
        <f>IF(Records!H118="","",Records!H118)</f>
        <v/>
      </c>
      <c r="D118" s="336">
        <f>IF(Records!F118="","",Records!F118)</f>
        <v/>
      </c>
      <c r="E118" s="337">
        <f>IF(AND(COUNTIFS(Participants!$A$3:$A$26,Records!A118,Participants!$V$3:$V$26,"是")=1,Records!AB118="是",Records!AC118="是",Records!AD118="是",COUNT(Records!K118,Records!L118,Records!M118,Records!O118,Records!P118,Records!Q118,Records!R118,Records!S118,Records!T118,Records!U118,Records!V118,Records!W118,Records!X118)=13),"是","否")</f>
        <v/>
      </c>
      <c r="F118" s="336">
        <f>IF(Records!K118="","",Records!K118)</f>
        <v/>
      </c>
      <c r="G118" s="336">
        <f>IF(Records!R118="","",Records!R118)</f>
        <v/>
      </c>
      <c r="H118" s="336">
        <f>IF(Records!L118="","",Records!L118)</f>
        <v/>
      </c>
      <c r="I118" s="336">
        <f>IF(Records!M118="","",Records!M118)</f>
        <v/>
      </c>
      <c r="J118" s="336">
        <f>IF(Records!Q118="","",Records!Q118)</f>
        <v/>
      </c>
      <c r="K118" s="336">
        <f>IF(Records!W118="","",Records!W118)</f>
        <v/>
      </c>
      <c r="L118" s="336">
        <f>IF(Records!X118="","",Records!X118)</f>
        <v/>
      </c>
      <c r="M118" s="336">
        <f>IF(COUNT(Records!S118,Records!T118,Records!U118)=3,AVERAGE(Records!S118,Records!T118,Records!U118),"")</f>
        <v/>
      </c>
      <c r="N118" s="336">
        <f>IF(COUNT(Records!V118,Records!O118,Records!P118)=3,AVERAGE(Records!V118,Records!O118,Records!P118),"")</f>
        <v/>
      </c>
      <c r="O118" s="336">
        <f>IF(Records!N118="","",Records!N118)</f>
        <v/>
      </c>
      <c r="P118" s="337">
        <f>IF(Records!AA118="","",IF(Records!AA118&gt;150,"是","否"))</f>
        <v/>
      </c>
      <c r="Q118" s="337">
        <f>IF(COUNT(Records!K118,Records!L118,Records!M118,Records!O118,Records!P118,Records!Q118,Records!R118,Records!S118,Records!T118,Records!U118,Records!V118,Records!W118,Records!X118)&lt;13,"",IF(OR(AND(Records!K118=Records!L118,Records!L118=Records!M118,Records!M118=Records!O118,Records!O118=Records!P118),AND(Records!L118=Records!M118,Records!M118=Records!O118,Records!O118=Records!P118,Records!P118=Records!Q118),AND(Records!M118=Records!O118,Records!O118=Records!P118,Records!P118=Records!Q118,Records!Q118=Records!R118),AND(Records!O118=Records!P118,Records!P118=Records!Q118,Records!Q118=Records!R118,Records!R118=Records!S118),AND(Records!P118=Records!Q118,Records!Q118=Records!R118,Records!R118=Records!S118,Records!S118=Records!T118),AND(Records!Q118=Records!R118,Records!R118=Records!S118,Records!S118=Records!T118,Records!T118=Records!U118),AND(Records!R118=Records!S118,Records!S118=Records!T118,Records!T118=Records!U118,Records!U118=Records!V118),AND(Records!S118=Records!T118,Records!T118=Records!U118,Records!U118=Records!V118,Records!V118=Records!W118),AND(Records!T118=Records!U118,Records!U118=Records!V118,Records!V118=Records!W118,Records!W118=Records!X118)),"是","否"))</f>
        <v/>
      </c>
      <c r="R118" s="336">
        <f>IF(Records!AF118="","",Records!AF118)</f>
        <v/>
      </c>
      <c r="S118" s="336">
        <f>IF(Records!AG118="","",Records!AG118)</f>
        <v/>
      </c>
      <c r="T118" s="336">
        <f>IF(Records!AH118="","",Records!AH118)</f>
        <v/>
      </c>
      <c r="U118" s="336">
        <f>IF(Records!AI118="","",Records!AI118)</f>
        <v/>
      </c>
      <c r="V118" s="336">
        <f>IF(Records!AJ118="","",Records!AJ118)</f>
        <v/>
      </c>
      <c r="W118" s="336">
        <f>IF(Records!AK118="","",Records!AK118)</f>
        <v/>
      </c>
      <c r="X118" s="336">
        <f>IF(Records!AL118="","",Records!AL118)</f>
        <v/>
      </c>
      <c r="Y118" s="336">
        <f>IF(Records!AM118="","",Records!AM118)</f>
        <v/>
      </c>
      <c r="Z118" s="336">
        <f>IF(Records!AN118="","",Records!AN118)</f>
        <v/>
      </c>
    </row>
    <row r="119">
      <c r="A119" s="335">
        <f>IF(Records!A119="","",Records!A119)</f>
        <v/>
      </c>
      <c r="B119" s="335">
        <f>IF(Records!B119="","",Records!B119)</f>
        <v/>
      </c>
      <c r="C119" s="336">
        <f>IF(Records!H119="","",Records!H119)</f>
        <v/>
      </c>
      <c r="D119" s="336">
        <f>IF(Records!F119="","",Records!F119)</f>
        <v/>
      </c>
      <c r="E119" s="337">
        <f>IF(AND(COUNTIFS(Participants!$A$3:$A$26,Records!A119,Participants!$V$3:$V$26,"是")=1,Records!AB119="是",Records!AC119="是",Records!AD119="是",COUNT(Records!K119,Records!L119,Records!M119,Records!O119,Records!P119,Records!Q119,Records!R119,Records!S119,Records!T119,Records!U119,Records!V119,Records!W119,Records!X119)=13),"是","否")</f>
        <v/>
      </c>
      <c r="F119" s="336">
        <f>IF(Records!K119="","",Records!K119)</f>
        <v/>
      </c>
      <c r="G119" s="336">
        <f>IF(Records!R119="","",Records!R119)</f>
        <v/>
      </c>
      <c r="H119" s="336">
        <f>IF(Records!L119="","",Records!L119)</f>
        <v/>
      </c>
      <c r="I119" s="336">
        <f>IF(Records!M119="","",Records!M119)</f>
        <v/>
      </c>
      <c r="J119" s="336">
        <f>IF(Records!Q119="","",Records!Q119)</f>
        <v/>
      </c>
      <c r="K119" s="336">
        <f>IF(Records!W119="","",Records!W119)</f>
        <v/>
      </c>
      <c r="L119" s="336">
        <f>IF(Records!X119="","",Records!X119)</f>
        <v/>
      </c>
      <c r="M119" s="336">
        <f>IF(COUNT(Records!S119,Records!T119,Records!U119)=3,AVERAGE(Records!S119,Records!T119,Records!U119),"")</f>
        <v/>
      </c>
      <c r="N119" s="336">
        <f>IF(COUNT(Records!V119,Records!O119,Records!P119)=3,AVERAGE(Records!V119,Records!O119,Records!P119),"")</f>
        <v/>
      </c>
      <c r="O119" s="336">
        <f>IF(Records!N119="","",Records!N119)</f>
        <v/>
      </c>
      <c r="P119" s="337">
        <f>IF(Records!AA119="","",IF(Records!AA119&gt;150,"是","否"))</f>
        <v/>
      </c>
      <c r="Q119" s="337">
        <f>IF(COUNT(Records!K119,Records!L119,Records!M119,Records!O119,Records!P119,Records!Q119,Records!R119,Records!S119,Records!T119,Records!U119,Records!V119,Records!W119,Records!X119)&lt;13,"",IF(OR(AND(Records!K119=Records!L119,Records!L119=Records!M119,Records!M119=Records!O119,Records!O119=Records!P119),AND(Records!L119=Records!M119,Records!M119=Records!O119,Records!O119=Records!P119,Records!P119=Records!Q119),AND(Records!M119=Records!O119,Records!O119=Records!P119,Records!P119=Records!Q119,Records!Q119=Records!R119),AND(Records!O119=Records!P119,Records!P119=Records!Q119,Records!Q119=Records!R119,Records!R119=Records!S119),AND(Records!P119=Records!Q119,Records!Q119=Records!R119,Records!R119=Records!S119,Records!S119=Records!T119),AND(Records!Q119=Records!R119,Records!R119=Records!S119,Records!S119=Records!T119,Records!T119=Records!U119),AND(Records!R119=Records!S119,Records!S119=Records!T119,Records!T119=Records!U119,Records!U119=Records!V119),AND(Records!S119=Records!T119,Records!T119=Records!U119,Records!U119=Records!V119,Records!V119=Records!W119),AND(Records!T119=Records!U119,Records!U119=Records!V119,Records!V119=Records!W119,Records!W119=Records!X119)),"是","否"))</f>
        <v/>
      </c>
      <c r="R119" s="336">
        <f>IF(Records!AF119="","",Records!AF119)</f>
        <v/>
      </c>
      <c r="S119" s="336">
        <f>IF(Records!AG119="","",Records!AG119)</f>
        <v/>
      </c>
      <c r="T119" s="336">
        <f>IF(Records!AH119="","",Records!AH119)</f>
        <v/>
      </c>
      <c r="U119" s="336">
        <f>IF(Records!AI119="","",Records!AI119)</f>
        <v/>
      </c>
      <c r="V119" s="336">
        <f>IF(Records!AJ119="","",Records!AJ119)</f>
        <v/>
      </c>
      <c r="W119" s="336">
        <f>IF(Records!AK119="","",Records!AK119)</f>
        <v/>
      </c>
      <c r="X119" s="336">
        <f>IF(Records!AL119="","",Records!AL119)</f>
        <v/>
      </c>
      <c r="Y119" s="336">
        <f>IF(Records!AM119="","",Records!AM119)</f>
        <v/>
      </c>
      <c r="Z119" s="336">
        <f>IF(Records!AN119="","",Records!AN119)</f>
        <v/>
      </c>
    </row>
    <row r="120">
      <c r="A120" s="335">
        <f>IF(Records!A120="","",Records!A120)</f>
        <v/>
      </c>
      <c r="B120" s="335">
        <f>IF(Records!B120="","",Records!B120)</f>
        <v/>
      </c>
      <c r="C120" s="336">
        <f>IF(Records!H120="","",Records!H120)</f>
        <v/>
      </c>
      <c r="D120" s="336">
        <f>IF(Records!F120="","",Records!F120)</f>
        <v/>
      </c>
      <c r="E120" s="337">
        <f>IF(AND(COUNTIFS(Participants!$A$3:$A$26,Records!A120,Participants!$V$3:$V$26,"是")=1,Records!AB120="是",Records!AC120="是",Records!AD120="是",COUNT(Records!K120,Records!L120,Records!M120,Records!O120,Records!P120,Records!Q120,Records!R120,Records!S120,Records!T120,Records!U120,Records!V120,Records!W120,Records!X120)=13),"是","否")</f>
        <v/>
      </c>
      <c r="F120" s="336">
        <f>IF(Records!K120="","",Records!K120)</f>
        <v/>
      </c>
      <c r="G120" s="336">
        <f>IF(Records!R120="","",Records!R120)</f>
        <v/>
      </c>
      <c r="H120" s="336">
        <f>IF(Records!L120="","",Records!L120)</f>
        <v/>
      </c>
      <c r="I120" s="336">
        <f>IF(Records!M120="","",Records!M120)</f>
        <v/>
      </c>
      <c r="J120" s="336">
        <f>IF(Records!Q120="","",Records!Q120)</f>
        <v/>
      </c>
      <c r="K120" s="336">
        <f>IF(Records!W120="","",Records!W120)</f>
        <v/>
      </c>
      <c r="L120" s="336">
        <f>IF(Records!X120="","",Records!X120)</f>
        <v/>
      </c>
      <c r="M120" s="336">
        <f>IF(COUNT(Records!S120,Records!T120,Records!U120)=3,AVERAGE(Records!S120,Records!T120,Records!U120),"")</f>
        <v/>
      </c>
      <c r="N120" s="336">
        <f>IF(COUNT(Records!V120,Records!O120,Records!P120)=3,AVERAGE(Records!V120,Records!O120,Records!P120),"")</f>
        <v/>
      </c>
      <c r="O120" s="336">
        <f>IF(Records!N120="","",Records!N120)</f>
        <v/>
      </c>
      <c r="P120" s="337">
        <f>IF(Records!AA120="","",IF(Records!AA120&gt;150,"是","否"))</f>
        <v/>
      </c>
      <c r="Q120" s="337">
        <f>IF(COUNT(Records!K120,Records!L120,Records!M120,Records!O120,Records!P120,Records!Q120,Records!R120,Records!S120,Records!T120,Records!U120,Records!V120,Records!W120,Records!X120)&lt;13,"",IF(OR(AND(Records!K120=Records!L120,Records!L120=Records!M120,Records!M120=Records!O120,Records!O120=Records!P120),AND(Records!L120=Records!M120,Records!M120=Records!O120,Records!O120=Records!P120,Records!P120=Records!Q120),AND(Records!M120=Records!O120,Records!O120=Records!P120,Records!P120=Records!Q120,Records!Q120=Records!R120),AND(Records!O120=Records!P120,Records!P120=Records!Q120,Records!Q120=Records!R120,Records!R120=Records!S120),AND(Records!P120=Records!Q120,Records!Q120=Records!R120,Records!R120=Records!S120,Records!S120=Records!T120),AND(Records!Q120=Records!R120,Records!R120=Records!S120,Records!S120=Records!T120,Records!T120=Records!U120),AND(Records!R120=Records!S120,Records!S120=Records!T120,Records!T120=Records!U120,Records!U120=Records!V120),AND(Records!S120=Records!T120,Records!T120=Records!U120,Records!U120=Records!V120,Records!V120=Records!W120),AND(Records!T120=Records!U120,Records!U120=Records!V120,Records!V120=Records!W120,Records!W120=Records!X120)),"是","否"))</f>
        <v/>
      </c>
      <c r="R120" s="336">
        <f>IF(Records!AF120="","",Records!AF120)</f>
        <v/>
      </c>
      <c r="S120" s="336">
        <f>IF(Records!AG120="","",Records!AG120)</f>
        <v/>
      </c>
      <c r="T120" s="336">
        <f>IF(Records!AH120="","",Records!AH120)</f>
        <v/>
      </c>
      <c r="U120" s="336">
        <f>IF(Records!AI120="","",Records!AI120)</f>
        <v/>
      </c>
      <c r="V120" s="336">
        <f>IF(Records!AJ120="","",Records!AJ120)</f>
        <v/>
      </c>
      <c r="W120" s="336">
        <f>IF(Records!AK120="","",Records!AK120)</f>
        <v/>
      </c>
      <c r="X120" s="336">
        <f>IF(Records!AL120="","",Records!AL120)</f>
        <v/>
      </c>
      <c r="Y120" s="336">
        <f>IF(Records!AM120="","",Records!AM120)</f>
        <v/>
      </c>
      <c r="Z120" s="336">
        <f>IF(Records!AN120="","",Records!AN120)</f>
        <v/>
      </c>
    </row>
    <row r="121">
      <c r="A121" s="335">
        <f>IF(Records!A121="","",Records!A121)</f>
        <v/>
      </c>
      <c r="B121" s="335">
        <f>IF(Records!B121="","",Records!B121)</f>
        <v/>
      </c>
      <c r="C121" s="336">
        <f>IF(Records!H121="","",Records!H121)</f>
        <v/>
      </c>
      <c r="D121" s="336">
        <f>IF(Records!F121="","",Records!F121)</f>
        <v/>
      </c>
      <c r="E121" s="337">
        <f>IF(AND(COUNTIFS(Participants!$A$3:$A$26,Records!A121,Participants!$V$3:$V$26,"是")=1,Records!AB121="是",Records!AC121="是",Records!AD121="是",COUNT(Records!K121,Records!L121,Records!M121,Records!O121,Records!P121,Records!Q121,Records!R121,Records!S121,Records!T121,Records!U121,Records!V121,Records!W121,Records!X121)=13),"是","否")</f>
        <v/>
      </c>
      <c r="F121" s="336">
        <f>IF(Records!K121="","",Records!K121)</f>
        <v/>
      </c>
      <c r="G121" s="336">
        <f>IF(Records!R121="","",Records!R121)</f>
        <v/>
      </c>
      <c r="H121" s="336">
        <f>IF(Records!L121="","",Records!L121)</f>
        <v/>
      </c>
      <c r="I121" s="336">
        <f>IF(Records!M121="","",Records!M121)</f>
        <v/>
      </c>
      <c r="J121" s="336">
        <f>IF(Records!Q121="","",Records!Q121)</f>
        <v/>
      </c>
      <c r="K121" s="336">
        <f>IF(Records!W121="","",Records!W121)</f>
        <v/>
      </c>
      <c r="L121" s="336">
        <f>IF(Records!X121="","",Records!X121)</f>
        <v/>
      </c>
      <c r="M121" s="336">
        <f>IF(COUNT(Records!S121,Records!T121,Records!U121)=3,AVERAGE(Records!S121,Records!T121,Records!U121),"")</f>
        <v/>
      </c>
      <c r="N121" s="336">
        <f>IF(COUNT(Records!V121,Records!O121,Records!P121)=3,AVERAGE(Records!V121,Records!O121,Records!P121),"")</f>
        <v/>
      </c>
      <c r="O121" s="336">
        <f>IF(Records!N121="","",Records!N121)</f>
        <v/>
      </c>
      <c r="P121" s="337">
        <f>IF(Records!AA121="","",IF(Records!AA121&gt;150,"是","否"))</f>
        <v/>
      </c>
      <c r="Q121" s="337">
        <f>IF(COUNT(Records!K121,Records!L121,Records!M121,Records!O121,Records!P121,Records!Q121,Records!R121,Records!S121,Records!T121,Records!U121,Records!V121,Records!W121,Records!X121)&lt;13,"",IF(OR(AND(Records!K121=Records!L121,Records!L121=Records!M121,Records!M121=Records!O121,Records!O121=Records!P121),AND(Records!L121=Records!M121,Records!M121=Records!O121,Records!O121=Records!P121,Records!P121=Records!Q121),AND(Records!M121=Records!O121,Records!O121=Records!P121,Records!P121=Records!Q121,Records!Q121=Records!R121),AND(Records!O121=Records!P121,Records!P121=Records!Q121,Records!Q121=Records!R121,Records!R121=Records!S121),AND(Records!P121=Records!Q121,Records!Q121=Records!R121,Records!R121=Records!S121,Records!S121=Records!T121),AND(Records!Q121=Records!R121,Records!R121=Records!S121,Records!S121=Records!T121,Records!T121=Records!U121),AND(Records!R121=Records!S121,Records!S121=Records!T121,Records!T121=Records!U121,Records!U121=Records!V121),AND(Records!S121=Records!T121,Records!T121=Records!U121,Records!U121=Records!V121,Records!V121=Records!W121),AND(Records!T121=Records!U121,Records!U121=Records!V121,Records!V121=Records!W121,Records!W121=Records!X121)),"是","否"))</f>
        <v/>
      </c>
      <c r="R121" s="336">
        <f>IF(Records!AF121="","",Records!AF121)</f>
        <v/>
      </c>
      <c r="S121" s="336">
        <f>IF(Records!AG121="","",Records!AG121)</f>
        <v/>
      </c>
      <c r="T121" s="336">
        <f>IF(Records!AH121="","",Records!AH121)</f>
        <v/>
      </c>
      <c r="U121" s="336">
        <f>IF(Records!AI121="","",Records!AI121)</f>
        <v/>
      </c>
      <c r="V121" s="336">
        <f>IF(Records!AJ121="","",Records!AJ121)</f>
        <v/>
      </c>
      <c r="W121" s="336">
        <f>IF(Records!AK121="","",Records!AK121)</f>
        <v/>
      </c>
      <c r="X121" s="336">
        <f>IF(Records!AL121="","",Records!AL121)</f>
        <v/>
      </c>
      <c r="Y121" s="336">
        <f>IF(Records!AM121="","",Records!AM121)</f>
        <v/>
      </c>
      <c r="Z121" s="336">
        <f>IF(Records!AN121="","",Records!AN121)</f>
        <v/>
      </c>
    </row>
    <row r="122">
      <c r="A122" s="335">
        <f>IF(Records!A122="","",Records!A122)</f>
        <v/>
      </c>
      <c r="B122" s="335">
        <f>IF(Records!B122="","",Records!B122)</f>
        <v/>
      </c>
      <c r="C122" s="336">
        <f>IF(Records!H122="","",Records!H122)</f>
        <v/>
      </c>
      <c r="D122" s="336">
        <f>IF(Records!F122="","",Records!F122)</f>
        <v/>
      </c>
      <c r="E122" s="337">
        <f>IF(AND(COUNTIFS(Participants!$A$3:$A$26,Records!A122,Participants!$V$3:$V$26,"是")=1,Records!AB122="是",Records!AC122="是",Records!AD122="是",COUNT(Records!K122,Records!L122,Records!M122,Records!O122,Records!P122,Records!Q122,Records!R122,Records!S122,Records!T122,Records!U122,Records!V122,Records!W122,Records!X122)=13),"是","否")</f>
        <v/>
      </c>
      <c r="F122" s="336">
        <f>IF(Records!K122="","",Records!K122)</f>
        <v/>
      </c>
      <c r="G122" s="336">
        <f>IF(Records!R122="","",Records!R122)</f>
        <v/>
      </c>
      <c r="H122" s="336">
        <f>IF(Records!L122="","",Records!L122)</f>
        <v/>
      </c>
      <c r="I122" s="336">
        <f>IF(Records!M122="","",Records!M122)</f>
        <v/>
      </c>
      <c r="J122" s="336">
        <f>IF(Records!Q122="","",Records!Q122)</f>
        <v/>
      </c>
      <c r="K122" s="336">
        <f>IF(Records!W122="","",Records!W122)</f>
        <v/>
      </c>
      <c r="L122" s="336">
        <f>IF(Records!X122="","",Records!X122)</f>
        <v/>
      </c>
      <c r="M122" s="336">
        <f>IF(COUNT(Records!S122,Records!T122,Records!U122)=3,AVERAGE(Records!S122,Records!T122,Records!U122),"")</f>
        <v/>
      </c>
      <c r="N122" s="336">
        <f>IF(COUNT(Records!V122,Records!O122,Records!P122)=3,AVERAGE(Records!V122,Records!O122,Records!P122),"")</f>
        <v/>
      </c>
      <c r="O122" s="336">
        <f>IF(Records!N122="","",Records!N122)</f>
        <v/>
      </c>
      <c r="P122" s="337">
        <f>IF(Records!AA122="","",IF(Records!AA122&gt;150,"是","否"))</f>
        <v/>
      </c>
      <c r="Q122" s="337">
        <f>IF(COUNT(Records!K122,Records!L122,Records!M122,Records!O122,Records!P122,Records!Q122,Records!R122,Records!S122,Records!T122,Records!U122,Records!V122,Records!W122,Records!X122)&lt;13,"",IF(OR(AND(Records!K122=Records!L122,Records!L122=Records!M122,Records!M122=Records!O122,Records!O122=Records!P122),AND(Records!L122=Records!M122,Records!M122=Records!O122,Records!O122=Records!P122,Records!P122=Records!Q122),AND(Records!M122=Records!O122,Records!O122=Records!P122,Records!P122=Records!Q122,Records!Q122=Records!R122),AND(Records!O122=Records!P122,Records!P122=Records!Q122,Records!Q122=Records!R122,Records!R122=Records!S122),AND(Records!P122=Records!Q122,Records!Q122=Records!R122,Records!R122=Records!S122,Records!S122=Records!T122),AND(Records!Q122=Records!R122,Records!R122=Records!S122,Records!S122=Records!T122,Records!T122=Records!U122),AND(Records!R122=Records!S122,Records!S122=Records!T122,Records!T122=Records!U122,Records!U122=Records!V122),AND(Records!S122=Records!T122,Records!T122=Records!U122,Records!U122=Records!V122,Records!V122=Records!W122),AND(Records!T122=Records!U122,Records!U122=Records!V122,Records!V122=Records!W122,Records!W122=Records!X122)),"是","否"))</f>
        <v/>
      </c>
      <c r="R122" s="336">
        <f>IF(Records!AF122="","",Records!AF122)</f>
        <v/>
      </c>
      <c r="S122" s="336">
        <f>IF(Records!AG122="","",Records!AG122)</f>
        <v/>
      </c>
      <c r="T122" s="336">
        <f>IF(Records!AH122="","",Records!AH122)</f>
        <v/>
      </c>
      <c r="U122" s="336">
        <f>IF(Records!AI122="","",Records!AI122)</f>
        <v/>
      </c>
      <c r="V122" s="336">
        <f>IF(Records!AJ122="","",Records!AJ122)</f>
        <v/>
      </c>
      <c r="W122" s="336">
        <f>IF(Records!AK122="","",Records!AK122)</f>
        <v/>
      </c>
      <c r="X122" s="336">
        <f>IF(Records!AL122="","",Records!AL122)</f>
        <v/>
      </c>
      <c r="Y122" s="336">
        <f>IF(Records!AM122="","",Records!AM122)</f>
        <v/>
      </c>
      <c r="Z122" s="336">
        <f>IF(Records!AN122="","",Records!AN122)</f>
        <v/>
      </c>
    </row>
    <row r="123">
      <c r="A123" s="335">
        <f>IF(Records!A123="","",Records!A123)</f>
        <v/>
      </c>
      <c r="B123" s="335">
        <f>IF(Records!B123="","",Records!B123)</f>
        <v/>
      </c>
      <c r="C123" s="336">
        <f>IF(Records!H123="","",Records!H123)</f>
        <v/>
      </c>
      <c r="D123" s="336">
        <f>IF(Records!F123="","",Records!F123)</f>
        <v/>
      </c>
      <c r="E123" s="337">
        <f>IF(AND(COUNTIFS(Participants!$A$3:$A$26,Records!A123,Participants!$V$3:$V$26,"是")=1,Records!AB123="是",Records!AC123="是",Records!AD123="是",COUNT(Records!K123,Records!L123,Records!M123,Records!O123,Records!P123,Records!Q123,Records!R123,Records!S123,Records!T123,Records!U123,Records!V123,Records!W123,Records!X123)=13),"是","否")</f>
        <v/>
      </c>
      <c r="F123" s="336">
        <f>IF(Records!K123="","",Records!K123)</f>
        <v/>
      </c>
      <c r="G123" s="336">
        <f>IF(Records!R123="","",Records!R123)</f>
        <v/>
      </c>
      <c r="H123" s="336">
        <f>IF(Records!L123="","",Records!L123)</f>
        <v/>
      </c>
      <c r="I123" s="336">
        <f>IF(Records!M123="","",Records!M123)</f>
        <v/>
      </c>
      <c r="J123" s="336">
        <f>IF(Records!Q123="","",Records!Q123)</f>
        <v/>
      </c>
      <c r="K123" s="336">
        <f>IF(Records!W123="","",Records!W123)</f>
        <v/>
      </c>
      <c r="L123" s="336">
        <f>IF(Records!X123="","",Records!X123)</f>
        <v/>
      </c>
      <c r="M123" s="336">
        <f>IF(COUNT(Records!S123,Records!T123,Records!U123)=3,AVERAGE(Records!S123,Records!T123,Records!U123),"")</f>
        <v/>
      </c>
      <c r="N123" s="336">
        <f>IF(COUNT(Records!V123,Records!O123,Records!P123)=3,AVERAGE(Records!V123,Records!O123,Records!P123),"")</f>
        <v/>
      </c>
      <c r="O123" s="336">
        <f>IF(Records!N123="","",Records!N123)</f>
        <v/>
      </c>
      <c r="P123" s="337">
        <f>IF(Records!AA123="","",IF(Records!AA123&gt;150,"是","否"))</f>
        <v/>
      </c>
      <c r="Q123" s="337">
        <f>IF(COUNT(Records!K123,Records!L123,Records!M123,Records!O123,Records!P123,Records!Q123,Records!R123,Records!S123,Records!T123,Records!U123,Records!V123,Records!W123,Records!X123)&lt;13,"",IF(OR(AND(Records!K123=Records!L123,Records!L123=Records!M123,Records!M123=Records!O123,Records!O123=Records!P123),AND(Records!L123=Records!M123,Records!M123=Records!O123,Records!O123=Records!P123,Records!P123=Records!Q123),AND(Records!M123=Records!O123,Records!O123=Records!P123,Records!P123=Records!Q123,Records!Q123=Records!R123),AND(Records!O123=Records!P123,Records!P123=Records!Q123,Records!Q123=Records!R123,Records!R123=Records!S123),AND(Records!P123=Records!Q123,Records!Q123=Records!R123,Records!R123=Records!S123,Records!S123=Records!T123),AND(Records!Q123=Records!R123,Records!R123=Records!S123,Records!S123=Records!T123,Records!T123=Records!U123),AND(Records!R123=Records!S123,Records!S123=Records!T123,Records!T123=Records!U123,Records!U123=Records!V123),AND(Records!S123=Records!T123,Records!T123=Records!U123,Records!U123=Records!V123,Records!V123=Records!W123),AND(Records!T123=Records!U123,Records!U123=Records!V123,Records!V123=Records!W123,Records!W123=Records!X123)),"是","否"))</f>
        <v/>
      </c>
      <c r="R123" s="336">
        <f>IF(Records!AF123="","",Records!AF123)</f>
        <v/>
      </c>
      <c r="S123" s="336">
        <f>IF(Records!AG123="","",Records!AG123)</f>
        <v/>
      </c>
      <c r="T123" s="336">
        <f>IF(Records!AH123="","",Records!AH123)</f>
        <v/>
      </c>
      <c r="U123" s="336">
        <f>IF(Records!AI123="","",Records!AI123)</f>
        <v/>
      </c>
      <c r="V123" s="336">
        <f>IF(Records!AJ123="","",Records!AJ123)</f>
        <v/>
      </c>
      <c r="W123" s="336">
        <f>IF(Records!AK123="","",Records!AK123)</f>
        <v/>
      </c>
      <c r="X123" s="336">
        <f>IF(Records!AL123="","",Records!AL123)</f>
        <v/>
      </c>
      <c r="Y123" s="336">
        <f>IF(Records!AM123="","",Records!AM123)</f>
        <v/>
      </c>
      <c r="Z123" s="336">
        <f>IF(Records!AN123="","",Records!AN123)</f>
        <v/>
      </c>
    </row>
    <row r="124">
      <c r="A124" s="335">
        <f>IF(Records!A124="","",Records!A124)</f>
        <v/>
      </c>
      <c r="B124" s="335">
        <f>IF(Records!B124="","",Records!B124)</f>
        <v/>
      </c>
      <c r="C124" s="336">
        <f>IF(Records!H124="","",Records!H124)</f>
        <v/>
      </c>
      <c r="D124" s="336">
        <f>IF(Records!F124="","",Records!F124)</f>
        <v/>
      </c>
      <c r="E124" s="337">
        <f>IF(AND(COUNTIFS(Participants!$A$3:$A$26,Records!A124,Participants!$V$3:$V$26,"是")=1,Records!AB124="是",Records!AC124="是",Records!AD124="是",COUNT(Records!K124,Records!L124,Records!M124,Records!O124,Records!P124,Records!Q124,Records!R124,Records!S124,Records!T124,Records!U124,Records!V124,Records!W124,Records!X124)=13),"是","否")</f>
        <v/>
      </c>
      <c r="F124" s="336">
        <f>IF(Records!K124="","",Records!K124)</f>
        <v/>
      </c>
      <c r="G124" s="336">
        <f>IF(Records!R124="","",Records!R124)</f>
        <v/>
      </c>
      <c r="H124" s="336">
        <f>IF(Records!L124="","",Records!L124)</f>
        <v/>
      </c>
      <c r="I124" s="336">
        <f>IF(Records!M124="","",Records!M124)</f>
        <v/>
      </c>
      <c r="J124" s="336">
        <f>IF(Records!Q124="","",Records!Q124)</f>
        <v/>
      </c>
      <c r="K124" s="336">
        <f>IF(Records!W124="","",Records!W124)</f>
        <v/>
      </c>
      <c r="L124" s="336">
        <f>IF(Records!X124="","",Records!X124)</f>
        <v/>
      </c>
      <c r="M124" s="336">
        <f>IF(COUNT(Records!S124,Records!T124,Records!U124)=3,AVERAGE(Records!S124,Records!T124,Records!U124),"")</f>
        <v/>
      </c>
      <c r="N124" s="336">
        <f>IF(COUNT(Records!V124,Records!O124,Records!P124)=3,AVERAGE(Records!V124,Records!O124,Records!P124),"")</f>
        <v/>
      </c>
      <c r="O124" s="336">
        <f>IF(Records!N124="","",Records!N124)</f>
        <v/>
      </c>
      <c r="P124" s="337">
        <f>IF(Records!AA124="","",IF(Records!AA124&gt;150,"是","否"))</f>
        <v/>
      </c>
      <c r="Q124" s="337">
        <f>IF(COUNT(Records!K124,Records!L124,Records!M124,Records!O124,Records!P124,Records!Q124,Records!R124,Records!S124,Records!T124,Records!U124,Records!V124,Records!W124,Records!X124)&lt;13,"",IF(OR(AND(Records!K124=Records!L124,Records!L124=Records!M124,Records!M124=Records!O124,Records!O124=Records!P124),AND(Records!L124=Records!M124,Records!M124=Records!O124,Records!O124=Records!P124,Records!P124=Records!Q124),AND(Records!M124=Records!O124,Records!O124=Records!P124,Records!P124=Records!Q124,Records!Q124=Records!R124),AND(Records!O124=Records!P124,Records!P124=Records!Q124,Records!Q124=Records!R124,Records!R124=Records!S124),AND(Records!P124=Records!Q124,Records!Q124=Records!R124,Records!R124=Records!S124,Records!S124=Records!T124),AND(Records!Q124=Records!R124,Records!R124=Records!S124,Records!S124=Records!T124,Records!T124=Records!U124),AND(Records!R124=Records!S124,Records!S124=Records!T124,Records!T124=Records!U124,Records!U124=Records!V124),AND(Records!S124=Records!T124,Records!T124=Records!U124,Records!U124=Records!V124,Records!V124=Records!W124),AND(Records!T124=Records!U124,Records!U124=Records!V124,Records!V124=Records!W124,Records!W124=Records!X124)),"是","否"))</f>
        <v/>
      </c>
      <c r="R124" s="336">
        <f>IF(Records!AF124="","",Records!AF124)</f>
        <v/>
      </c>
      <c r="S124" s="336">
        <f>IF(Records!AG124="","",Records!AG124)</f>
        <v/>
      </c>
      <c r="T124" s="336">
        <f>IF(Records!AH124="","",Records!AH124)</f>
        <v/>
      </c>
      <c r="U124" s="336">
        <f>IF(Records!AI124="","",Records!AI124)</f>
        <v/>
      </c>
      <c r="V124" s="336">
        <f>IF(Records!AJ124="","",Records!AJ124)</f>
        <v/>
      </c>
      <c r="W124" s="336">
        <f>IF(Records!AK124="","",Records!AK124)</f>
        <v/>
      </c>
      <c r="X124" s="336">
        <f>IF(Records!AL124="","",Records!AL124)</f>
        <v/>
      </c>
      <c r="Y124" s="336">
        <f>IF(Records!AM124="","",Records!AM124)</f>
        <v/>
      </c>
      <c r="Z124" s="336">
        <f>IF(Records!AN124="","",Records!AN124)</f>
        <v/>
      </c>
    </row>
    <row r="125">
      <c r="A125" s="335">
        <f>IF(Records!A125="","",Records!A125)</f>
        <v/>
      </c>
      <c r="B125" s="335">
        <f>IF(Records!B125="","",Records!B125)</f>
        <v/>
      </c>
      <c r="C125" s="336">
        <f>IF(Records!H125="","",Records!H125)</f>
        <v/>
      </c>
      <c r="D125" s="336">
        <f>IF(Records!F125="","",Records!F125)</f>
        <v/>
      </c>
      <c r="E125" s="337">
        <f>IF(AND(COUNTIFS(Participants!$A$3:$A$26,Records!A125,Participants!$V$3:$V$26,"是")=1,Records!AB125="是",Records!AC125="是",Records!AD125="是",COUNT(Records!K125,Records!L125,Records!M125,Records!O125,Records!P125,Records!Q125,Records!R125,Records!S125,Records!T125,Records!U125,Records!V125,Records!W125,Records!X125)=13),"是","否")</f>
        <v/>
      </c>
      <c r="F125" s="336">
        <f>IF(Records!K125="","",Records!K125)</f>
        <v/>
      </c>
      <c r="G125" s="336">
        <f>IF(Records!R125="","",Records!R125)</f>
        <v/>
      </c>
      <c r="H125" s="336">
        <f>IF(Records!L125="","",Records!L125)</f>
        <v/>
      </c>
      <c r="I125" s="336">
        <f>IF(Records!M125="","",Records!M125)</f>
        <v/>
      </c>
      <c r="J125" s="336">
        <f>IF(Records!Q125="","",Records!Q125)</f>
        <v/>
      </c>
      <c r="K125" s="336">
        <f>IF(Records!W125="","",Records!W125)</f>
        <v/>
      </c>
      <c r="L125" s="336">
        <f>IF(Records!X125="","",Records!X125)</f>
        <v/>
      </c>
      <c r="M125" s="336">
        <f>IF(COUNT(Records!S125,Records!T125,Records!U125)=3,AVERAGE(Records!S125,Records!T125,Records!U125),"")</f>
        <v/>
      </c>
      <c r="N125" s="336">
        <f>IF(COUNT(Records!V125,Records!O125,Records!P125)=3,AVERAGE(Records!V125,Records!O125,Records!P125),"")</f>
        <v/>
      </c>
      <c r="O125" s="336">
        <f>IF(Records!N125="","",Records!N125)</f>
        <v/>
      </c>
      <c r="P125" s="337">
        <f>IF(Records!AA125="","",IF(Records!AA125&gt;150,"是","否"))</f>
        <v/>
      </c>
      <c r="Q125" s="337">
        <f>IF(COUNT(Records!K125,Records!L125,Records!M125,Records!O125,Records!P125,Records!Q125,Records!R125,Records!S125,Records!T125,Records!U125,Records!V125,Records!W125,Records!X125)&lt;13,"",IF(OR(AND(Records!K125=Records!L125,Records!L125=Records!M125,Records!M125=Records!O125,Records!O125=Records!P125),AND(Records!L125=Records!M125,Records!M125=Records!O125,Records!O125=Records!P125,Records!P125=Records!Q125),AND(Records!M125=Records!O125,Records!O125=Records!P125,Records!P125=Records!Q125,Records!Q125=Records!R125),AND(Records!O125=Records!P125,Records!P125=Records!Q125,Records!Q125=Records!R125,Records!R125=Records!S125),AND(Records!P125=Records!Q125,Records!Q125=Records!R125,Records!R125=Records!S125,Records!S125=Records!T125),AND(Records!Q125=Records!R125,Records!R125=Records!S125,Records!S125=Records!T125,Records!T125=Records!U125),AND(Records!R125=Records!S125,Records!S125=Records!T125,Records!T125=Records!U125,Records!U125=Records!V125),AND(Records!S125=Records!T125,Records!T125=Records!U125,Records!U125=Records!V125,Records!V125=Records!W125),AND(Records!T125=Records!U125,Records!U125=Records!V125,Records!V125=Records!W125,Records!W125=Records!X125)),"是","否"))</f>
        <v/>
      </c>
      <c r="R125" s="336">
        <f>IF(Records!AF125="","",Records!AF125)</f>
        <v/>
      </c>
      <c r="S125" s="336">
        <f>IF(Records!AG125="","",Records!AG125)</f>
        <v/>
      </c>
      <c r="T125" s="336">
        <f>IF(Records!AH125="","",Records!AH125)</f>
        <v/>
      </c>
      <c r="U125" s="336">
        <f>IF(Records!AI125="","",Records!AI125)</f>
        <v/>
      </c>
      <c r="V125" s="336">
        <f>IF(Records!AJ125="","",Records!AJ125)</f>
        <v/>
      </c>
      <c r="W125" s="336">
        <f>IF(Records!AK125="","",Records!AK125)</f>
        <v/>
      </c>
      <c r="X125" s="336">
        <f>IF(Records!AL125="","",Records!AL125)</f>
        <v/>
      </c>
      <c r="Y125" s="336">
        <f>IF(Records!AM125="","",Records!AM125)</f>
        <v/>
      </c>
      <c r="Z125" s="336">
        <f>IF(Records!AN125="","",Records!AN125)</f>
        <v/>
      </c>
    </row>
    <row r="126">
      <c r="A126" s="335">
        <f>IF(Records!A126="","",Records!A126)</f>
        <v/>
      </c>
      <c r="B126" s="335">
        <f>IF(Records!B126="","",Records!B126)</f>
        <v/>
      </c>
      <c r="C126" s="336">
        <f>IF(Records!H126="","",Records!H126)</f>
        <v/>
      </c>
      <c r="D126" s="336">
        <f>IF(Records!F126="","",Records!F126)</f>
        <v/>
      </c>
      <c r="E126" s="337">
        <f>IF(AND(COUNTIFS(Participants!$A$3:$A$26,Records!A126,Participants!$V$3:$V$26,"是")=1,Records!AB126="是",Records!AC126="是",Records!AD126="是",COUNT(Records!K126,Records!L126,Records!M126,Records!O126,Records!P126,Records!Q126,Records!R126,Records!S126,Records!T126,Records!U126,Records!V126,Records!W126,Records!X126)=13),"是","否")</f>
        <v/>
      </c>
      <c r="F126" s="336">
        <f>IF(Records!K126="","",Records!K126)</f>
        <v/>
      </c>
      <c r="G126" s="336">
        <f>IF(Records!R126="","",Records!R126)</f>
        <v/>
      </c>
      <c r="H126" s="336">
        <f>IF(Records!L126="","",Records!L126)</f>
        <v/>
      </c>
      <c r="I126" s="336">
        <f>IF(Records!M126="","",Records!M126)</f>
        <v/>
      </c>
      <c r="J126" s="336">
        <f>IF(Records!Q126="","",Records!Q126)</f>
        <v/>
      </c>
      <c r="K126" s="336">
        <f>IF(Records!W126="","",Records!W126)</f>
        <v/>
      </c>
      <c r="L126" s="336">
        <f>IF(Records!X126="","",Records!X126)</f>
        <v/>
      </c>
      <c r="M126" s="336">
        <f>IF(COUNT(Records!S126,Records!T126,Records!U126)=3,AVERAGE(Records!S126,Records!T126,Records!U126),"")</f>
        <v/>
      </c>
      <c r="N126" s="336">
        <f>IF(COUNT(Records!V126,Records!O126,Records!P126)=3,AVERAGE(Records!V126,Records!O126,Records!P126),"")</f>
        <v/>
      </c>
      <c r="O126" s="336">
        <f>IF(Records!N126="","",Records!N126)</f>
        <v/>
      </c>
      <c r="P126" s="337">
        <f>IF(Records!AA126="","",IF(Records!AA126&gt;150,"是","否"))</f>
        <v/>
      </c>
      <c r="Q126" s="337">
        <f>IF(COUNT(Records!K126,Records!L126,Records!M126,Records!O126,Records!P126,Records!Q126,Records!R126,Records!S126,Records!T126,Records!U126,Records!V126,Records!W126,Records!X126)&lt;13,"",IF(OR(AND(Records!K126=Records!L126,Records!L126=Records!M126,Records!M126=Records!O126,Records!O126=Records!P126),AND(Records!L126=Records!M126,Records!M126=Records!O126,Records!O126=Records!P126,Records!P126=Records!Q126),AND(Records!M126=Records!O126,Records!O126=Records!P126,Records!P126=Records!Q126,Records!Q126=Records!R126),AND(Records!O126=Records!P126,Records!P126=Records!Q126,Records!Q126=Records!R126,Records!R126=Records!S126),AND(Records!P126=Records!Q126,Records!Q126=Records!R126,Records!R126=Records!S126,Records!S126=Records!T126),AND(Records!Q126=Records!R126,Records!R126=Records!S126,Records!S126=Records!T126,Records!T126=Records!U126),AND(Records!R126=Records!S126,Records!S126=Records!T126,Records!T126=Records!U126,Records!U126=Records!V126),AND(Records!S126=Records!T126,Records!T126=Records!U126,Records!U126=Records!V126,Records!V126=Records!W126),AND(Records!T126=Records!U126,Records!U126=Records!V126,Records!V126=Records!W126,Records!W126=Records!X126)),"是","否"))</f>
        <v/>
      </c>
      <c r="R126" s="336">
        <f>IF(Records!AF126="","",Records!AF126)</f>
        <v/>
      </c>
      <c r="S126" s="336">
        <f>IF(Records!AG126="","",Records!AG126)</f>
        <v/>
      </c>
      <c r="T126" s="336">
        <f>IF(Records!AH126="","",Records!AH126)</f>
        <v/>
      </c>
      <c r="U126" s="336">
        <f>IF(Records!AI126="","",Records!AI126)</f>
        <v/>
      </c>
      <c r="V126" s="336">
        <f>IF(Records!AJ126="","",Records!AJ126)</f>
        <v/>
      </c>
      <c r="W126" s="336">
        <f>IF(Records!AK126="","",Records!AK126)</f>
        <v/>
      </c>
      <c r="X126" s="336">
        <f>IF(Records!AL126="","",Records!AL126)</f>
        <v/>
      </c>
      <c r="Y126" s="336">
        <f>IF(Records!AM126="","",Records!AM126)</f>
        <v/>
      </c>
      <c r="Z126" s="336">
        <f>IF(Records!AN126="","",Records!AN126)</f>
        <v/>
      </c>
    </row>
    <row r="127">
      <c r="A127" s="335">
        <f>IF(Records!A127="","",Records!A127)</f>
        <v/>
      </c>
      <c r="B127" s="335">
        <f>IF(Records!B127="","",Records!B127)</f>
        <v/>
      </c>
      <c r="C127" s="336">
        <f>IF(Records!H127="","",Records!H127)</f>
        <v/>
      </c>
      <c r="D127" s="336">
        <f>IF(Records!F127="","",Records!F127)</f>
        <v/>
      </c>
      <c r="E127" s="337">
        <f>IF(AND(COUNTIFS(Participants!$A$3:$A$26,Records!A127,Participants!$V$3:$V$26,"是")=1,Records!AB127="是",Records!AC127="是",Records!AD127="是",COUNT(Records!K127,Records!L127,Records!M127,Records!O127,Records!P127,Records!Q127,Records!R127,Records!S127,Records!T127,Records!U127,Records!V127,Records!W127,Records!X127)=13),"是","否")</f>
        <v/>
      </c>
      <c r="F127" s="336">
        <f>IF(Records!K127="","",Records!K127)</f>
        <v/>
      </c>
      <c r="G127" s="336">
        <f>IF(Records!R127="","",Records!R127)</f>
        <v/>
      </c>
      <c r="H127" s="336">
        <f>IF(Records!L127="","",Records!L127)</f>
        <v/>
      </c>
      <c r="I127" s="336">
        <f>IF(Records!M127="","",Records!M127)</f>
        <v/>
      </c>
      <c r="J127" s="336">
        <f>IF(Records!Q127="","",Records!Q127)</f>
        <v/>
      </c>
      <c r="K127" s="336">
        <f>IF(Records!W127="","",Records!W127)</f>
        <v/>
      </c>
      <c r="L127" s="336">
        <f>IF(Records!X127="","",Records!X127)</f>
        <v/>
      </c>
      <c r="M127" s="336">
        <f>IF(COUNT(Records!S127,Records!T127,Records!U127)=3,AVERAGE(Records!S127,Records!T127,Records!U127),"")</f>
        <v/>
      </c>
      <c r="N127" s="336">
        <f>IF(COUNT(Records!V127,Records!O127,Records!P127)=3,AVERAGE(Records!V127,Records!O127,Records!P127),"")</f>
        <v/>
      </c>
      <c r="O127" s="336">
        <f>IF(Records!N127="","",Records!N127)</f>
        <v/>
      </c>
      <c r="P127" s="337">
        <f>IF(Records!AA127="","",IF(Records!AA127&gt;150,"是","否"))</f>
        <v/>
      </c>
      <c r="Q127" s="337">
        <f>IF(COUNT(Records!K127,Records!L127,Records!M127,Records!O127,Records!P127,Records!Q127,Records!R127,Records!S127,Records!T127,Records!U127,Records!V127,Records!W127,Records!X127)&lt;13,"",IF(OR(AND(Records!K127=Records!L127,Records!L127=Records!M127,Records!M127=Records!O127,Records!O127=Records!P127),AND(Records!L127=Records!M127,Records!M127=Records!O127,Records!O127=Records!P127,Records!P127=Records!Q127),AND(Records!M127=Records!O127,Records!O127=Records!P127,Records!P127=Records!Q127,Records!Q127=Records!R127),AND(Records!O127=Records!P127,Records!P127=Records!Q127,Records!Q127=Records!R127,Records!R127=Records!S127),AND(Records!P127=Records!Q127,Records!Q127=Records!R127,Records!R127=Records!S127,Records!S127=Records!T127),AND(Records!Q127=Records!R127,Records!R127=Records!S127,Records!S127=Records!T127,Records!T127=Records!U127),AND(Records!R127=Records!S127,Records!S127=Records!T127,Records!T127=Records!U127,Records!U127=Records!V127),AND(Records!S127=Records!T127,Records!T127=Records!U127,Records!U127=Records!V127,Records!V127=Records!W127),AND(Records!T127=Records!U127,Records!U127=Records!V127,Records!V127=Records!W127,Records!W127=Records!X127)),"是","否"))</f>
        <v/>
      </c>
      <c r="R127" s="336">
        <f>IF(Records!AF127="","",Records!AF127)</f>
        <v/>
      </c>
      <c r="S127" s="336">
        <f>IF(Records!AG127="","",Records!AG127)</f>
        <v/>
      </c>
      <c r="T127" s="336">
        <f>IF(Records!AH127="","",Records!AH127)</f>
        <v/>
      </c>
      <c r="U127" s="336">
        <f>IF(Records!AI127="","",Records!AI127)</f>
        <v/>
      </c>
      <c r="V127" s="336">
        <f>IF(Records!AJ127="","",Records!AJ127)</f>
        <v/>
      </c>
      <c r="W127" s="336">
        <f>IF(Records!AK127="","",Records!AK127)</f>
        <v/>
      </c>
      <c r="X127" s="336">
        <f>IF(Records!AL127="","",Records!AL127)</f>
        <v/>
      </c>
      <c r="Y127" s="336">
        <f>IF(Records!AM127="","",Records!AM127)</f>
        <v/>
      </c>
      <c r="Z127" s="336">
        <f>IF(Records!AN127="","",Records!AN127)</f>
        <v/>
      </c>
    </row>
    <row r="128">
      <c r="A128" s="335">
        <f>IF(Records!A128="","",Records!A128)</f>
        <v/>
      </c>
      <c r="B128" s="335">
        <f>IF(Records!B128="","",Records!B128)</f>
        <v/>
      </c>
      <c r="C128" s="336">
        <f>IF(Records!H128="","",Records!H128)</f>
        <v/>
      </c>
      <c r="D128" s="336">
        <f>IF(Records!F128="","",Records!F128)</f>
        <v/>
      </c>
      <c r="E128" s="337">
        <f>IF(AND(COUNTIFS(Participants!$A$3:$A$26,Records!A128,Participants!$V$3:$V$26,"是")=1,Records!AB128="是",Records!AC128="是",Records!AD128="是",COUNT(Records!K128,Records!L128,Records!M128,Records!O128,Records!P128,Records!Q128,Records!R128,Records!S128,Records!T128,Records!U128,Records!V128,Records!W128,Records!X128)=13),"是","否")</f>
        <v/>
      </c>
      <c r="F128" s="336">
        <f>IF(Records!K128="","",Records!K128)</f>
        <v/>
      </c>
      <c r="G128" s="336">
        <f>IF(Records!R128="","",Records!R128)</f>
        <v/>
      </c>
      <c r="H128" s="336">
        <f>IF(Records!L128="","",Records!L128)</f>
        <v/>
      </c>
      <c r="I128" s="336">
        <f>IF(Records!M128="","",Records!M128)</f>
        <v/>
      </c>
      <c r="J128" s="336">
        <f>IF(Records!Q128="","",Records!Q128)</f>
        <v/>
      </c>
      <c r="K128" s="336">
        <f>IF(Records!W128="","",Records!W128)</f>
        <v/>
      </c>
      <c r="L128" s="336">
        <f>IF(Records!X128="","",Records!X128)</f>
        <v/>
      </c>
      <c r="M128" s="336">
        <f>IF(COUNT(Records!S128,Records!T128,Records!U128)=3,AVERAGE(Records!S128,Records!T128,Records!U128),"")</f>
        <v/>
      </c>
      <c r="N128" s="336">
        <f>IF(COUNT(Records!V128,Records!O128,Records!P128)=3,AVERAGE(Records!V128,Records!O128,Records!P128),"")</f>
        <v/>
      </c>
      <c r="O128" s="336">
        <f>IF(Records!N128="","",Records!N128)</f>
        <v/>
      </c>
      <c r="P128" s="337">
        <f>IF(Records!AA128="","",IF(Records!AA128&gt;150,"是","否"))</f>
        <v/>
      </c>
      <c r="Q128" s="337">
        <f>IF(COUNT(Records!K128,Records!L128,Records!M128,Records!O128,Records!P128,Records!Q128,Records!R128,Records!S128,Records!T128,Records!U128,Records!V128,Records!W128,Records!X128)&lt;13,"",IF(OR(AND(Records!K128=Records!L128,Records!L128=Records!M128,Records!M128=Records!O128,Records!O128=Records!P128),AND(Records!L128=Records!M128,Records!M128=Records!O128,Records!O128=Records!P128,Records!P128=Records!Q128),AND(Records!M128=Records!O128,Records!O128=Records!P128,Records!P128=Records!Q128,Records!Q128=Records!R128),AND(Records!O128=Records!P128,Records!P128=Records!Q128,Records!Q128=Records!R128,Records!R128=Records!S128),AND(Records!P128=Records!Q128,Records!Q128=Records!R128,Records!R128=Records!S128,Records!S128=Records!T128),AND(Records!Q128=Records!R128,Records!R128=Records!S128,Records!S128=Records!T128,Records!T128=Records!U128),AND(Records!R128=Records!S128,Records!S128=Records!T128,Records!T128=Records!U128,Records!U128=Records!V128),AND(Records!S128=Records!T128,Records!T128=Records!U128,Records!U128=Records!V128,Records!V128=Records!W128),AND(Records!T128=Records!U128,Records!U128=Records!V128,Records!V128=Records!W128,Records!W128=Records!X128)),"是","否"))</f>
        <v/>
      </c>
      <c r="R128" s="336">
        <f>IF(Records!AF128="","",Records!AF128)</f>
        <v/>
      </c>
      <c r="S128" s="336">
        <f>IF(Records!AG128="","",Records!AG128)</f>
        <v/>
      </c>
      <c r="T128" s="336">
        <f>IF(Records!AH128="","",Records!AH128)</f>
        <v/>
      </c>
      <c r="U128" s="336">
        <f>IF(Records!AI128="","",Records!AI128)</f>
        <v/>
      </c>
      <c r="V128" s="336">
        <f>IF(Records!AJ128="","",Records!AJ128)</f>
        <v/>
      </c>
      <c r="W128" s="336">
        <f>IF(Records!AK128="","",Records!AK128)</f>
        <v/>
      </c>
      <c r="X128" s="336">
        <f>IF(Records!AL128="","",Records!AL128)</f>
        <v/>
      </c>
      <c r="Y128" s="336">
        <f>IF(Records!AM128="","",Records!AM128)</f>
        <v/>
      </c>
      <c r="Z128" s="336">
        <f>IF(Records!AN128="","",Records!AN128)</f>
        <v/>
      </c>
    </row>
    <row r="129">
      <c r="A129" s="335">
        <f>IF(Records!A129="","",Records!A129)</f>
        <v/>
      </c>
      <c r="B129" s="335">
        <f>IF(Records!B129="","",Records!B129)</f>
        <v/>
      </c>
      <c r="C129" s="336">
        <f>IF(Records!H129="","",Records!H129)</f>
        <v/>
      </c>
      <c r="D129" s="336">
        <f>IF(Records!F129="","",Records!F129)</f>
        <v/>
      </c>
      <c r="E129" s="337">
        <f>IF(AND(COUNTIFS(Participants!$A$3:$A$26,Records!A129,Participants!$V$3:$V$26,"是")=1,Records!AB129="是",Records!AC129="是",Records!AD129="是",COUNT(Records!K129,Records!L129,Records!M129,Records!O129,Records!P129,Records!Q129,Records!R129,Records!S129,Records!T129,Records!U129,Records!V129,Records!W129,Records!X129)=13),"是","否")</f>
        <v/>
      </c>
      <c r="F129" s="336">
        <f>IF(Records!K129="","",Records!K129)</f>
        <v/>
      </c>
      <c r="G129" s="336">
        <f>IF(Records!R129="","",Records!R129)</f>
        <v/>
      </c>
      <c r="H129" s="336">
        <f>IF(Records!L129="","",Records!L129)</f>
        <v/>
      </c>
      <c r="I129" s="336">
        <f>IF(Records!M129="","",Records!M129)</f>
        <v/>
      </c>
      <c r="J129" s="336">
        <f>IF(Records!Q129="","",Records!Q129)</f>
        <v/>
      </c>
      <c r="K129" s="336">
        <f>IF(Records!W129="","",Records!W129)</f>
        <v/>
      </c>
      <c r="L129" s="336">
        <f>IF(Records!X129="","",Records!X129)</f>
        <v/>
      </c>
      <c r="M129" s="336">
        <f>IF(COUNT(Records!S129,Records!T129,Records!U129)=3,AVERAGE(Records!S129,Records!T129,Records!U129),"")</f>
        <v/>
      </c>
      <c r="N129" s="336">
        <f>IF(COUNT(Records!V129,Records!O129,Records!P129)=3,AVERAGE(Records!V129,Records!O129,Records!P129),"")</f>
        <v/>
      </c>
      <c r="O129" s="336">
        <f>IF(Records!N129="","",Records!N129)</f>
        <v/>
      </c>
      <c r="P129" s="337">
        <f>IF(Records!AA129="","",IF(Records!AA129&gt;150,"是","否"))</f>
        <v/>
      </c>
      <c r="Q129" s="337">
        <f>IF(COUNT(Records!K129,Records!L129,Records!M129,Records!O129,Records!P129,Records!Q129,Records!R129,Records!S129,Records!T129,Records!U129,Records!V129,Records!W129,Records!X129)&lt;13,"",IF(OR(AND(Records!K129=Records!L129,Records!L129=Records!M129,Records!M129=Records!O129,Records!O129=Records!P129),AND(Records!L129=Records!M129,Records!M129=Records!O129,Records!O129=Records!P129,Records!P129=Records!Q129),AND(Records!M129=Records!O129,Records!O129=Records!P129,Records!P129=Records!Q129,Records!Q129=Records!R129),AND(Records!O129=Records!P129,Records!P129=Records!Q129,Records!Q129=Records!R129,Records!R129=Records!S129),AND(Records!P129=Records!Q129,Records!Q129=Records!R129,Records!R129=Records!S129,Records!S129=Records!T129),AND(Records!Q129=Records!R129,Records!R129=Records!S129,Records!S129=Records!T129,Records!T129=Records!U129),AND(Records!R129=Records!S129,Records!S129=Records!T129,Records!T129=Records!U129,Records!U129=Records!V129),AND(Records!S129=Records!T129,Records!T129=Records!U129,Records!U129=Records!V129,Records!V129=Records!W129),AND(Records!T129=Records!U129,Records!U129=Records!V129,Records!V129=Records!W129,Records!W129=Records!X129)),"是","否"))</f>
        <v/>
      </c>
      <c r="R129" s="336">
        <f>IF(Records!AF129="","",Records!AF129)</f>
        <v/>
      </c>
      <c r="S129" s="336">
        <f>IF(Records!AG129="","",Records!AG129)</f>
        <v/>
      </c>
      <c r="T129" s="336">
        <f>IF(Records!AH129="","",Records!AH129)</f>
        <v/>
      </c>
      <c r="U129" s="336">
        <f>IF(Records!AI129="","",Records!AI129)</f>
        <v/>
      </c>
      <c r="V129" s="336">
        <f>IF(Records!AJ129="","",Records!AJ129)</f>
        <v/>
      </c>
      <c r="W129" s="336">
        <f>IF(Records!AK129="","",Records!AK129)</f>
        <v/>
      </c>
      <c r="X129" s="336">
        <f>IF(Records!AL129="","",Records!AL129)</f>
        <v/>
      </c>
      <c r="Y129" s="336">
        <f>IF(Records!AM129="","",Records!AM129)</f>
        <v/>
      </c>
      <c r="Z129" s="336">
        <f>IF(Records!AN129="","",Records!AN129)</f>
        <v/>
      </c>
    </row>
    <row r="130">
      <c r="A130" s="335">
        <f>IF(Records!A130="","",Records!A130)</f>
        <v/>
      </c>
      <c r="B130" s="335">
        <f>IF(Records!B130="","",Records!B130)</f>
        <v/>
      </c>
      <c r="C130" s="336">
        <f>IF(Records!H130="","",Records!H130)</f>
        <v/>
      </c>
      <c r="D130" s="336">
        <f>IF(Records!F130="","",Records!F130)</f>
        <v/>
      </c>
      <c r="E130" s="337">
        <f>IF(AND(COUNTIFS(Participants!$A$3:$A$26,Records!A130,Participants!$V$3:$V$26,"是")=1,Records!AB130="是",Records!AC130="是",Records!AD130="是",COUNT(Records!K130,Records!L130,Records!M130,Records!O130,Records!P130,Records!Q130,Records!R130,Records!S130,Records!T130,Records!U130,Records!V130,Records!W130,Records!X130)=13),"是","否")</f>
        <v/>
      </c>
      <c r="F130" s="336">
        <f>IF(Records!K130="","",Records!K130)</f>
        <v/>
      </c>
      <c r="G130" s="336">
        <f>IF(Records!R130="","",Records!R130)</f>
        <v/>
      </c>
      <c r="H130" s="336">
        <f>IF(Records!L130="","",Records!L130)</f>
        <v/>
      </c>
      <c r="I130" s="336">
        <f>IF(Records!M130="","",Records!M130)</f>
        <v/>
      </c>
      <c r="J130" s="336">
        <f>IF(Records!Q130="","",Records!Q130)</f>
        <v/>
      </c>
      <c r="K130" s="336">
        <f>IF(Records!W130="","",Records!W130)</f>
        <v/>
      </c>
      <c r="L130" s="336">
        <f>IF(Records!X130="","",Records!X130)</f>
        <v/>
      </c>
      <c r="M130" s="336">
        <f>IF(COUNT(Records!S130,Records!T130,Records!U130)=3,AVERAGE(Records!S130,Records!T130,Records!U130),"")</f>
        <v/>
      </c>
      <c r="N130" s="336">
        <f>IF(COUNT(Records!V130,Records!O130,Records!P130)=3,AVERAGE(Records!V130,Records!O130,Records!P130),"")</f>
        <v/>
      </c>
      <c r="O130" s="336">
        <f>IF(Records!N130="","",Records!N130)</f>
        <v/>
      </c>
      <c r="P130" s="337">
        <f>IF(Records!AA130="","",IF(Records!AA130&gt;150,"是","否"))</f>
        <v/>
      </c>
      <c r="Q130" s="337">
        <f>IF(COUNT(Records!K130,Records!L130,Records!M130,Records!O130,Records!P130,Records!Q130,Records!R130,Records!S130,Records!T130,Records!U130,Records!V130,Records!W130,Records!X130)&lt;13,"",IF(OR(AND(Records!K130=Records!L130,Records!L130=Records!M130,Records!M130=Records!O130,Records!O130=Records!P130),AND(Records!L130=Records!M130,Records!M130=Records!O130,Records!O130=Records!P130,Records!P130=Records!Q130),AND(Records!M130=Records!O130,Records!O130=Records!P130,Records!P130=Records!Q130,Records!Q130=Records!R130),AND(Records!O130=Records!P130,Records!P130=Records!Q130,Records!Q130=Records!R130,Records!R130=Records!S130),AND(Records!P130=Records!Q130,Records!Q130=Records!R130,Records!R130=Records!S130,Records!S130=Records!T130),AND(Records!Q130=Records!R130,Records!R130=Records!S130,Records!S130=Records!T130,Records!T130=Records!U130),AND(Records!R130=Records!S130,Records!S130=Records!T130,Records!T130=Records!U130,Records!U130=Records!V130),AND(Records!S130=Records!T130,Records!T130=Records!U130,Records!U130=Records!V130,Records!V130=Records!W130),AND(Records!T130=Records!U130,Records!U130=Records!V130,Records!V130=Records!W130,Records!W130=Records!X130)),"是","否"))</f>
        <v/>
      </c>
      <c r="R130" s="336">
        <f>IF(Records!AF130="","",Records!AF130)</f>
        <v/>
      </c>
      <c r="S130" s="336">
        <f>IF(Records!AG130="","",Records!AG130)</f>
        <v/>
      </c>
      <c r="T130" s="336">
        <f>IF(Records!AH130="","",Records!AH130)</f>
        <v/>
      </c>
      <c r="U130" s="336">
        <f>IF(Records!AI130="","",Records!AI130)</f>
        <v/>
      </c>
      <c r="V130" s="336">
        <f>IF(Records!AJ130="","",Records!AJ130)</f>
        <v/>
      </c>
      <c r="W130" s="336">
        <f>IF(Records!AK130="","",Records!AK130)</f>
        <v/>
      </c>
      <c r="X130" s="336">
        <f>IF(Records!AL130="","",Records!AL130)</f>
        <v/>
      </c>
      <c r="Y130" s="336">
        <f>IF(Records!AM130="","",Records!AM130)</f>
        <v/>
      </c>
      <c r="Z130" s="336">
        <f>IF(Records!AN130="","",Records!AN130)</f>
        <v/>
      </c>
    </row>
    <row r="131">
      <c r="A131" s="335">
        <f>IF(Records!A131="","",Records!A131)</f>
        <v/>
      </c>
      <c r="B131" s="335">
        <f>IF(Records!B131="","",Records!B131)</f>
        <v/>
      </c>
      <c r="C131" s="336">
        <f>IF(Records!H131="","",Records!H131)</f>
        <v/>
      </c>
      <c r="D131" s="336">
        <f>IF(Records!F131="","",Records!F131)</f>
        <v/>
      </c>
      <c r="E131" s="337">
        <f>IF(AND(COUNTIFS(Participants!$A$3:$A$26,Records!A131,Participants!$V$3:$V$26,"是")=1,Records!AB131="是",Records!AC131="是",Records!AD131="是",COUNT(Records!K131,Records!L131,Records!M131,Records!O131,Records!P131,Records!Q131,Records!R131,Records!S131,Records!T131,Records!U131,Records!V131,Records!W131,Records!X131)=13),"是","否")</f>
        <v/>
      </c>
      <c r="F131" s="336">
        <f>IF(Records!K131="","",Records!K131)</f>
        <v/>
      </c>
      <c r="G131" s="336">
        <f>IF(Records!R131="","",Records!R131)</f>
        <v/>
      </c>
      <c r="H131" s="336">
        <f>IF(Records!L131="","",Records!L131)</f>
        <v/>
      </c>
      <c r="I131" s="336">
        <f>IF(Records!M131="","",Records!M131)</f>
        <v/>
      </c>
      <c r="J131" s="336">
        <f>IF(Records!Q131="","",Records!Q131)</f>
        <v/>
      </c>
      <c r="K131" s="336">
        <f>IF(Records!W131="","",Records!W131)</f>
        <v/>
      </c>
      <c r="L131" s="336">
        <f>IF(Records!X131="","",Records!X131)</f>
        <v/>
      </c>
      <c r="M131" s="336">
        <f>IF(COUNT(Records!S131,Records!T131,Records!U131)=3,AVERAGE(Records!S131,Records!T131,Records!U131),"")</f>
        <v/>
      </c>
      <c r="N131" s="336">
        <f>IF(COUNT(Records!V131,Records!O131,Records!P131)=3,AVERAGE(Records!V131,Records!O131,Records!P131),"")</f>
        <v/>
      </c>
      <c r="O131" s="336">
        <f>IF(Records!N131="","",Records!N131)</f>
        <v/>
      </c>
      <c r="P131" s="337">
        <f>IF(Records!AA131="","",IF(Records!AA131&gt;150,"是","否"))</f>
        <v/>
      </c>
      <c r="Q131" s="337">
        <f>IF(COUNT(Records!K131,Records!L131,Records!M131,Records!O131,Records!P131,Records!Q131,Records!R131,Records!S131,Records!T131,Records!U131,Records!V131,Records!W131,Records!X131)&lt;13,"",IF(OR(AND(Records!K131=Records!L131,Records!L131=Records!M131,Records!M131=Records!O131,Records!O131=Records!P131),AND(Records!L131=Records!M131,Records!M131=Records!O131,Records!O131=Records!P131,Records!P131=Records!Q131),AND(Records!M131=Records!O131,Records!O131=Records!P131,Records!P131=Records!Q131,Records!Q131=Records!R131),AND(Records!O131=Records!P131,Records!P131=Records!Q131,Records!Q131=Records!R131,Records!R131=Records!S131),AND(Records!P131=Records!Q131,Records!Q131=Records!R131,Records!R131=Records!S131,Records!S131=Records!T131),AND(Records!Q131=Records!R131,Records!R131=Records!S131,Records!S131=Records!T131,Records!T131=Records!U131),AND(Records!R131=Records!S131,Records!S131=Records!T131,Records!T131=Records!U131,Records!U131=Records!V131),AND(Records!S131=Records!T131,Records!T131=Records!U131,Records!U131=Records!V131,Records!V131=Records!W131),AND(Records!T131=Records!U131,Records!U131=Records!V131,Records!V131=Records!W131,Records!W131=Records!X131)),"是","否"))</f>
        <v/>
      </c>
      <c r="R131" s="336">
        <f>IF(Records!AF131="","",Records!AF131)</f>
        <v/>
      </c>
      <c r="S131" s="336">
        <f>IF(Records!AG131="","",Records!AG131)</f>
        <v/>
      </c>
      <c r="T131" s="336">
        <f>IF(Records!AH131="","",Records!AH131)</f>
        <v/>
      </c>
      <c r="U131" s="336">
        <f>IF(Records!AI131="","",Records!AI131)</f>
        <v/>
      </c>
      <c r="V131" s="336">
        <f>IF(Records!AJ131="","",Records!AJ131)</f>
        <v/>
      </c>
      <c r="W131" s="336">
        <f>IF(Records!AK131="","",Records!AK131)</f>
        <v/>
      </c>
      <c r="X131" s="336">
        <f>IF(Records!AL131="","",Records!AL131)</f>
        <v/>
      </c>
      <c r="Y131" s="336">
        <f>IF(Records!AM131="","",Records!AM131)</f>
        <v/>
      </c>
      <c r="Z131" s="336">
        <f>IF(Records!AN131="","",Records!AN131)</f>
        <v/>
      </c>
    </row>
    <row r="132">
      <c r="A132" s="335">
        <f>IF(Records!A132="","",Records!A132)</f>
        <v/>
      </c>
      <c r="B132" s="335">
        <f>IF(Records!B132="","",Records!B132)</f>
        <v/>
      </c>
      <c r="C132" s="336">
        <f>IF(Records!H132="","",Records!H132)</f>
        <v/>
      </c>
      <c r="D132" s="336">
        <f>IF(Records!F132="","",Records!F132)</f>
        <v/>
      </c>
      <c r="E132" s="337">
        <f>IF(AND(COUNTIFS(Participants!$A$3:$A$26,Records!A132,Participants!$V$3:$V$26,"是")=1,Records!AB132="是",Records!AC132="是",Records!AD132="是",COUNT(Records!K132,Records!L132,Records!M132,Records!O132,Records!P132,Records!Q132,Records!R132,Records!S132,Records!T132,Records!U132,Records!V132,Records!W132,Records!X132)=13),"是","否")</f>
        <v/>
      </c>
      <c r="F132" s="336">
        <f>IF(Records!K132="","",Records!K132)</f>
        <v/>
      </c>
      <c r="G132" s="336">
        <f>IF(Records!R132="","",Records!R132)</f>
        <v/>
      </c>
      <c r="H132" s="336">
        <f>IF(Records!L132="","",Records!L132)</f>
        <v/>
      </c>
      <c r="I132" s="336">
        <f>IF(Records!M132="","",Records!M132)</f>
        <v/>
      </c>
      <c r="J132" s="336">
        <f>IF(Records!Q132="","",Records!Q132)</f>
        <v/>
      </c>
      <c r="K132" s="336">
        <f>IF(Records!W132="","",Records!W132)</f>
        <v/>
      </c>
      <c r="L132" s="336">
        <f>IF(Records!X132="","",Records!X132)</f>
        <v/>
      </c>
      <c r="M132" s="336">
        <f>IF(COUNT(Records!S132,Records!T132,Records!U132)=3,AVERAGE(Records!S132,Records!T132,Records!U132),"")</f>
        <v/>
      </c>
      <c r="N132" s="336">
        <f>IF(COUNT(Records!V132,Records!O132,Records!P132)=3,AVERAGE(Records!V132,Records!O132,Records!P132),"")</f>
        <v/>
      </c>
      <c r="O132" s="336">
        <f>IF(Records!N132="","",Records!N132)</f>
        <v/>
      </c>
      <c r="P132" s="337">
        <f>IF(Records!AA132="","",IF(Records!AA132&gt;150,"是","否"))</f>
        <v/>
      </c>
      <c r="Q132" s="337">
        <f>IF(COUNT(Records!K132,Records!L132,Records!M132,Records!O132,Records!P132,Records!Q132,Records!R132,Records!S132,Records!T132,Records!U132,Records!V132,Records!W132,Records!X132)&lt;13,"",IF(OR(AND(Records!K132=Records!L132,Records!L132=Records!M132,Records!M132=Records!O132,Records!O132=Records!P132),AND(Records!L132=Records!M132,Records!M132=Records!O132,Records!O132=Records!P132,Records!P132=Records!Q132),AND(Records!M132=Records!O132,Records!O132=Records!P132,Records!P132=Records!Q132,Records!Q132=Records!R132),AND(Records!O132=Records!P132,Records!P132=Records!Q132,Records!Q132=Records!R132,Records!R132=Records!S132),AND(Records!P132=Records!Q132,Records!Q132=Records!R132,Records!R132=Records!S132,Records!S132=Records!T132),AND(Records!Q132=Records!R132,Records!R132=Records!S132,Records!S132=Records!T132,Records!T132=Records!U132),AND(Records!R132=Records!S132,Records!S132=Records!T132,Records!T132=Records!U132,Records!U132=Records!V132),AND(Records!S132=Records!T132,Records!T132=Records!U132,Records!U132=Records!V132,Records!V132=Records!W132),AND(Records!T132=Records!U132,Records!U132=Records!V132,Records!V132=Records!W132,Records!W132=Records!X132)),"是","否"))</f>
        <v/>
      </c>
      <c r="R132" s="336">
        <f>IF(Records!AF132="","",Records!AF132)</f>
        <v/>
      </c>
      <c r="S132" s="336">
        <f>IF(Records!AG132="","",Records!AG132)</f>
        <v/>
      </c>
      <c r="T132" s="336">
        <f>IF(Records!AH132="","",Records!AH132)</f>
        <v/>
      </c>
      <c r="U132" s="336">
        <f>IF(Records!AI132="","",Records!AI132)</f>
        <v/>
      </c>
      <c r="V132" s="336">
        <f>IF(Records!AJ132="","",Records!AJ132)</f>
        <v/>
      </c>
      <c r="W132" s="336">
        <f>IF(Records!AK132="","",Records!AK132)</f>
        <v/>
      </c>
      <c r="X132" s="336">
        <f>IF(Records!AL132="","",Records!AL132)</f>
        <v/>
      </c>
      <c r="Y132" s="336">
        <f>IF(Records!AM132="","",Records!AM132)</f>
        <v/>
      </c>
      <c r="Z132" s="336">
        <f>IF(Records!AN132="","",Records!AN132)</f>
        <v/>
      </c>
    </row>
    <row r="133">
      <c r="A133" s="335">
        <f>IF(Records!A133="","",Records!A133)</f>
        <v/>
      </c>
      <c r="B133" s="335">
        <f>IF(Records!B133="","",Records!B133)</f>
        <v/>
      </c>
      <c r="C133" s="336">
        <f>IF(Records!H133="","",Records!H133)</f>
        <v/>
      </c>
      <c r="D133" s="336">
        <f>IF(Records!F133="","",Records!F133)</f>
        <v/>
      </c>
      <c r="E133" s="337">
        <f>IF(AND(COUNTIFS(Participants!$A$3:$A$26,Records!A133,Participants!$V$3:$V$26,"是")=1,Records!AB133="是",Records!AC133="是",Records!AD133="是",COUNT(Records!K133,Records!L133,Records!M133,Records!O133,Records!P133,Records!Q133,Records!R133,Records!S133,Records!T133,Records!U133,Records!V133,Records!W133,Records!X133)=13),"是","否")</f>
        <v/>
      </c>
      <c r="F133" s="336">
        <f>IF(Records!K133="","",Records!K133)</f>
        <v/>
      </c>
      <c r="G133" s="336">
        <f>IF(Records!R133="","",Records!R133)</f>
        <v/>
      </c>
      <c r="H133" s="336">
        <f>IF(Records!L133="","",Records!L133)</f>
        <v/>
      </c>
      <c r="I133" s="336">
        <f>IF(Records!M133="","",Records!M133)</f>
        <v/>
      </c>
      <c r="J133" s="336">
        <f>IF(Records!Q133="","",Records!Q133)</f>
        <v/>
      </c>
      <c r="K133" s="336">
        <f>IF(Records!W133="","",Records!W133)</f>
        <v/>
      </c>
      <c r="L133" s="336">
        <f>IF(Records!X133="","",Records!X133)</f>
        <v/>
      </c>
      <c r="M133" s="336">
        <f>IF(COUNT(Records!S133,Records!T133,Records!U133)=3,AVERAGE(Records!S133,Records!T133,Records!U133),"")</f>
        <v/>
      </c>
      <c r="N133" s="336">
        <f>IF(COUNT(Records!V133,Records!O133,Records!P133)=3,AVERAGE(Records!V133,Records!O133,Records!P133),"")</f>
        <v/>
      </c>
      <c r="O133" s="336">
        <f>IF(Records!N133="","",Records!N133)</f>
        <v/>
      </c>
      <c r="P133" s="337">
        <f>IF(Records!AA133="","",IF(Records!AA133&gt;150,"是","否"))</f>
        <v/>
      </c>
      <c r="Q133" s="337">
        <f>IF(COUNT(Records!K133,Records!L133,Records!M133,Records!O133,Records!P133,Records!Q133,Records!R133,Records!S133,Records!T133,Records!U133,Records!V133,Records!W133,Records!X133)&lt;13,"",IF(OR(AND(Records!K133=Records!L133,Records!L133=Records!M133,Records!M133=Records!O133,Records!O133=Records!P133),AND(Records!L133=Records!M133,Records!M133=Records!O133,Records!O133=Records!P133,Records!P133=Records!Q133),AND(Records!M133=Records!O133,Records!O133=Records!P133,Records!P133=Records!Q133,Records!Q133=Records!R133),AND(Records!O133=Records!P133,Records!P133=Records!Q133,Records!Q133=Records!R133,Records!R133=Records!S133),AND(Records!P133=Records!Q133,Records!Q133=Records!R133,Records!R133=Records!S133,Records!S133=Records!T133),AND(Records!Q133=Records!R133,Records!R133=Records!S133,Records!S133=Records!T133,Records!T133=Records!U133),AND(Records!R133=Records!S133,Records!S133=Records!T133,Records!T133=Records!U133,Records!U133=Records!V133),AND(Records!S133=Records!T133,Records!T133=Records!U133,Records!U133=Records!V133,Records!V133=Records!W133),AND(Records!T133=Records!U133,Records!U133=Records!V133,Records!V133=Records!W133,Records!W133=Records!X133)),"是","否"))</f>
        <v/>
      </c>
      <c r="R133" s="336">
        <f>IF(Records!AF133="","",Records!AF133)</f>
        <v/>
      </c>
      <c r="S133" s="336">
        <f>IF(Records!AG133="","",Records!AG133)</f>
        <v/>
      </c>
      <c r="T133" s="336">
        <f>IF(Records!AH133="","",Records!AH133)</f>
        <v/>
      </c>
      <c r="U133" s="336">
        <f>IF(Records!AI133="","",Records!AI133)</f>
        <v/>
      </c>
      <c r="V133" s="336">
        <f>IF(Records!AJ133="","",Records!AJ133)</f>
        <v/>
      </c>
      <c r="W133" s="336">
        <f>IF(Records!AK133="","",Records!AK133)</f>
        <v/>
      </c>
      <c r="X133" s="336">
        <f>IF(Records!AL133="","",Records!AL133)</f>
        <v/>
      </c>
      <c r="Y133" s="336">
        <f>IF(Records!AM133="","",Records!AM133)</f>
        <v/>
      </c>
      <c r="Z133" s="336">
        <f>IF(Records!AN133="","",Records!AN133)</f>
        <v/>
      </c>
    </row>
    <row r="134">
      <c r="A134" s="335">
        <f>IF(Records!A134="","",Records!A134)</f>
        <v/>
      </c>
      <c r="B134" s="335">
        <f>IF(Records!B134="","",Records!B134)</f>
        <v/>
      </c>
      <c r="C134" s="336">
        <f>IF(Records!H134="","",Records!H134)</f>
        <v/>
      </c>
      <c r="D134" s="336">
        <f>IF(Records!F134="","",Records!F134)</f>
        <v/>
      </c>
      <c r="E134" s="337">
        <f>IF(AND(COUNTIFS(Participants!$A$3:$A$26,Records!A134,Participants!$V$3:$V$26,"是")=1,Records!AB134="是",Records!AC134="是",Records!AD134="是",COUNT(Records!K134,Records!L134,Records!M134,Records!O134,Records!P134,Records!Q134,Records!R134,Records!S134,Records!T134,Records!U134,Records!V134,Records!W134,Records!X134)=13),"是","否")</f>
        <v/>
      </c>
      <c r="F134" s="336">
        <f>IF(Records!K134="","",Records!K134)</f>
        <v/>
      </c>
      <c r="G134" s="336">
        <f>IF(Records!R134="","",Records!R134)</f>
        <v/>
      </c>
      <c r="H134" s="336">
        <f>IF(Records!L134="","",Records!L134)</f>
        <v/>
      </c>
      <c r="I134" s="336">
        <f>IF(Records!M134="","",Records!M134)</f>
        <v/>
      </c>
      <c r="J134" s="336">
        <f>IF(Records!Q134="","",Records!Q134)</f>
        <v/>
      </c>
      <c r="K134" s="336">
        <f>IF(Records!W134="","",Records!W134)</f>
        <v/>
      </c>
      <c r="L134" s="336">
        <f>IF(Records!X134="","",Records!X134)</f>
        <v/>
      </c>
      <c r="M134" s="336">
        <f>IF(COUNT(Records!S134,Records!T134,Records!U134)=3,AVERAGE(Records!S134,Records!T134,Records!U134),"")</f>
        <v/>
      </c>
      <c r="N134" s="336">
        <f>IF(COUNT(Records!V134,Records!O134,Records!P134)=3,AVERAGE(Records!V134,Records!O134,Records!P134),"")</f>
        <v/>
      </c>
      <c r="O134" s="336">
        <f>IF(Records!N134="","",Records!N134)</f>
        <v/>
      </c>
      <c r="P134" s="337">
        <f>IF(Records!AA134="","",IF(Records!AA134&gt;150,"是","否"))</f>
        <v/>
      </c>
      <c r="Q134" s="337">
        <f>IF(COUNT(Records!K134,Records!L134,Records!M134,Records!O134,Records!P134,Records!Q134,Records!R134,Records!S134,Records!T134,Records!U134,Records!V134,Records!W134,Records!X134)&lt;13,"",IF(OR(AND(Records!K134=Records!L134,Records!L134=Records!M134,Records!M134=Records!O134,Records!O134=Records!P134),AND(Records!L134=Records!M134,Records!M134=Records!O134,Records!O134=Records!P134,Records!P134=Records!Q134),AND(Records!M134=Records!O134,Records!O134=Records!P134,Records!P134=Records!Q134,Records!Q134=Records!R134),AND(Records!O134=Records!P134,Records!P134=Records!Q134,Records!Q134=Records!R134,Records!R134=Records!S134),AND(Records!P134=Records!Q134,Records!Q134=Records!R134,Records!R134=Records!S134,Records!S134=Records!T134),AND(Records!Q134=Records!R134,Records!R134=Records!S134,Records!S134=Records!T134,Records!T134=Records!U134),AND(Records!R134=Records!S134,Records!S134=Records!T134,Records!T134=Records!U134,Records!U134=Records!V134),AND(Records!S134=Records!T134,Records!T134=Records!U134,Records!U134=Records!V134,Records!V134=Records!W134),AND(Records!T134=Records!U134,Records!U134=Records!V134,Records!V134=Records!W134,Records!W134=Records!X134)),"是","否"))</f>
        <v/>
      </c>
      <c r="R134" s="336">
        <f>IF(Records!AF134="","",Records!AF134)</f>
        <v/>
      </c>
      <c r="S134" s="336">
        <f>IF(Records!AG134="","",Records!AG134)</f>
        <v/>
      </c>
      <c r="T134" s="336">
        <f>IF(Records!AH134="","",Records!AH134)</f>
        <v/>
      </c>
      <c r="U134" s="336">
        <f>IF(Records!AI134="","",Records!AI134)</f>
        <v/>
      </c>
      <c r="V134" s="336">
        <f>IF(Records!AJ134="","",Records!AJ134)</f>
        <v/>
      </c>
      <c r="W134" s="336">
        <f>IF(Records!AK134="","",Records!AK134)</f>
        <v/>
      </c>
      <c r="X134" s="336">
        <f>IF(Records!AL134="","",Records!AL134)</f>
        <v/>
      </c>
      <c r="Y134" s="336">
        <f>IF(Records!AM134="","",Records!AM134)</f>
        <v/>
      </c>
      <c r="Z134" s="336">
        <f>IF(Records!AN134="","",Records!AN134)</f>
        <v/>
      </c>
    </row>
    <row r="135">
      <c r="A135" s="335">
        <f>IF(Records!A135="","",Records!A135)</f>
        <v/>
      </c>
      <c r="B135" s="335">
        <f>IF(Records!B135="","",Records!B135)</f>
        <v/>
      </c>
      <c r="C135" s="336">
        <f>IF(Records!H135="","",Records!H135)</f>
        <v/>
      </c>
      <c r="D135" s="336">
        <f>IF(Records!F135="","",Records!F135)</f>
        <v/>
      </c>
      <c r="E135" s="337">
        <f>IF(AND(COUNTIFS(Participants!$A$3:$A$26,Records!A135,Participants!$V$3:$V$26,"是")=1,Records!AB135="是",Records!AC135="是",Records!AD135="是",COUNT(Records!K135,Records!L135,Records!M135,Records!O135,Records!P135,Records!Q135,Records!R135,Records!S135,Records!T135,Records!U135,Records!V135,Records!W135,Records!X135)=13),"是","否")</f>
        <v/>
      </c>
      <c r="F135" s="336">
        <f>IF(Records!K135="","",Records!K135)</f>
        <v/>
      </c>
      <c r="G135" s="336">
        <f>IF(Records!R135="","",Records!R135)</f>
        <v/>
      </c>
      <c r="H135" s="336">
        <f>IF(Records!L135="","",Records!L135)</f>
        <v/>
      </c>
      <c r="I135" s="336">
        <f>IF(Records!M135="","",Records!M135)</f>
        <v/>
      </c>
      <c r="J135" s="336">
        <f>IF(Records!Q135="","",Records!Q135)</f>
        <v/>
      </c>
      <c r="K135" s="336">
        <f>IF(Records!W135="","",Records!W135)</f>
        <v/>
      </c>
      <c r="L135" s="336">
        <f>IF(Records!X135="","",Records!X135)</f>
        <v/>
      </c>
      <c r="M135" s="336">
        <f>IF(COUNT(Records!S135,Records!T135,Records!U135)=3,AVERAGE(Records!S135,Records!T135,Records!U135),"")</f>
        <v/>
      </c>
      <c r="N135" s="336">
        <f>IF(COUNT(Records!V135,Records!O135,Records!P135)=3,AVERAGE(Records!V135,Records!O135,Records!P135),"")</f>
        <v/>
      </c>
      <c r="O135" s="336">
        <f>IF(Records!N135="","",Records!N135)</f>
        <v/>
      </c>
      <c r="P135" s="337">
        <f>IF(Records!AA135="","",IF(Records!AA135&gt;150,"是","否"))</f>
        <v/>
      </c>
      <c r="Q135" s="337">
        <f>IF(COUNT(Records!K135,Records!L135,Records!M135,Records!O135,Records!P135,Records!Q135,Records!R135,Records!S135,Records!T135,Records!U135,Records!V135,Records!W135,Records!X135)&lt;13,"",IF(OR(AND(Records!K135=Records!L135,Records!L135=Records!M135,Records!M135=Records!O135,Records!O135=Records!P135),AND(Records!L135=Records!M135,Records!M135=Records!O135,Records!O135=Records!P135,Records!P135=Records!Q135),AND(Records!M135=Records!O135,Records!O135=Records!P135,Records!P135=Records!Q135,Records!Q135=Records!R135),AND(Records!O135=Records!P135,Records!P135=Records!Q135,Records!Q135=Records!R135,Records!R135=Records!S135),AND(Records!P135=Records!Q135,Records!Q135=Records!R135,Records!R135=Records!S135,Records!S135=Records!T135),AND(Records!Q135=Records!R135,Records!R135=Records!S135,Records!S135=Records!T135,Records!T135=Records!U135),AND(Records!R135=Records!S135,Records!S135=Records!T135,Records!T135=Records!U135,Records!U135=Records!V135),AND(Records!S135=Records!T135,Records!T135=Records!U135,Records!U135=Records!V135,Records!V135=Records!W135),AND(Records!T135=Records!U135,Records!U135=Records!V135,Records!V135=Records!W135,Records!W135=Records!X135)),"是","否"))</f>
        <v/>
      </c>
      <c r="R135" s="336">
        <f>IF(Records!AF135="","",Records!AF135)</f>
        <v/>
      </c>
      <c r="S135" s="336">
        <f>IF(Records!AG135="","",Records!AG135)</f>
        <v/>
      </c>
      <c r="T135" s="336">
        <f>IF(Records!AH135="","",Records!AH135)</f>
        <v/>
      </c>
      <c r="U135" s="336">
        <f>IF(Records!AI135="","",Records!AI135)</f>
        <v/>
      </c>
      <c r="V135" s="336">
        <f>IF(Records!AJ135="","",Records!AJ135)</f>
        <v/>
      </c>
      <c r="W135" s="336">
        <f>IF(Records!AK135="","",Records!AK135)</f>
        <v/>
      </c>
      <c r="X135" s="336">
        <f>IF(Records!AL135="","",Records!AL135)</f>
        <v/>
      </c>
      <c r="Y135" s="336">
        <f>IF(Records!AM135="","",Records!AM135)</f>
        <v/>
      </c>
      <c r="Z135" s="336">
        <f>IF(Records!AN135="","",Records!AN135)</f>
        <v/>
      </c>
    </row>
    <row r="136">
      <c r="A136" s="335">
        <f>IF(Records!A136="","",Records!A136)</f>
        <v/>
      </c>
      <c r="B136" s="335">
        <f>IF(Records!B136="","",Records!B136)</f>
        <v/>
      </c>
      <c r="C136" s="336">
        <f>IF(Records!H136="","",Records!H136)</f>
        <v/>
      </c>
      <c r="D136" s="336">
        <f>IF(Records!F136="","",Records!F136)</f>
        <v/>
      </c>
      <c r="E136" s="337">
        <f>IF(AND(COUNTIFS(Participants!$A$3:$A$26,Records!A136,Participants!$V$3:$V$26,"是")=1,Records!AB136="是",Records!AC136="是",Records!AD136="是",COUNT(Records!K136,Records!L136,Records!M136,Records!O136,Records!P136,Records!Q136,Records!R136,Records!S136,Records!T136,Records!U136,Records!V136,Records!W136,Records!X136)=13),"是","否")</f>
        <v/>
      </c>
      <c r="F136" s="336">
        <f>IF(Records!K136="","",Records!K136)</f>
        <v/>
      </c>
      <c r="G136" s="336">
        <f>IF(Records!R136="","",Records!R136)</f>
        <v/>
      </c>
      <c r="H136" s="336">
        <f>IF(Records!L136="","",Records!L136)</f>
        <v/>
      </c>
      <c r="I136" s="336">
        <f>IF(Records!M136="","",Records!M136)</f>
        <v/>
      </c>
      <c r="J136" s="336">
        <f>IF(Records!Q136="","",Records!Q136)</f>
        <v/>
      </c>
      <c r="K136" s="336">
        <f>IF(Records!W136="","",Records!W136)</f>
        <v/>
      </c>
      <c r="L136" s="336">
        <f>IF(Records!X136="","",Records!X136)</f>
        <v/>
      </c>
      <c r="M136" s="336">
        <f>IF(COUNT(Records!S136,Records!T136,Records!U136)=3,AVERAGE(Records!S136,Records!T136,Records!U136),"")</f>
        <v/>
      </c>
      <c r="N136" s="336">
        <f>IF(COUNT(Records!V136,Records!O136,Records!P136)=3,AVERAGE(Records!V136,Records!O136,Records!P136),"")</f>
        <v/>
      </c>
      <c r="O136" s="336">
        <f>IF(Records!N136="","",Records!N136)</f>
        <v/>
      </c>
      <c r="P136" s="337">
        <f>IF(Records!AA136="","",IF(Records!AA136&gt;150,"是","否"))</f>
        <v/>
      </c>
      <c r="Q136" s="337">
        <f>IF(COUNT(Records!K136,Records!L136,Records!M136,Records!O136,Records!P136,Records!Q136,Records!R136,Records!S136,Records!T136,Records!U136,Records!V136,Records!W136,Records!X136)&lt;13,"",IF(OR(AND(Records!K136=Records!L136,Records!L136=Records!M136,Records!M136=Records!O136,Records!O136=Records!P136),AND(Records!L136=Records!M136,Records!M136=Records!O136,Records!O136=Records!P136,Records!P136=Records!Q136),AND(Records!M136=Records!O136,Records!O136=Records!P136,Records!P136=Records!Q136,Records!Q136=Records!R136),AND(Records!O136=Records!P136,Records!P136=Records!Q136,Records!Q136=Records!R136,Records!R136=Records!S136),AND(Records!P136=Records!Q136,Records!Q136=Records!R136,Records!R136=Records!S136,Records!S136=Records!T136),AND(Records!Q136=Records!R136,Records!R136=Records!S136,Records!S136=Records!T136,Records!T136=Records!U136),AND(Records!R136=Records!S136,Records!S136=Records!T136,Records!T136=Records!U136,Records!U136=Records!V136),AND(Records!S136=Records!T136,Records!T136=Records!U136,Records!U136=Records!V136,Records!V136=Records!W136),AND(Records!T136=Records!U136,Records!U136=Records!V136,Records!V136=Records!W136,Records!W136=Records!X136)),"是","否"))</f>
        <v/>
      </c>
      <c r="R136" s="336">
        <f>IF(Records!AF136="","",Records!AF136)</f>
        <v/>
      </c>
      <c r="S136" s="336">
        <f>IF(Records!AG136="","",Records!AG136)</f>
        <v/>
      </c>
      <c r="T136" s="336">
        <f>IF(Records!AH136="","",Records!AH136)</f>
        <v/>
      </c>
      <c r="U136" s="336">
        <f>IF(Records!AI136="","",Records!AI136)</f>
        <v/>
      </c>
      <c r="V136" s="336">
        <f>IF(Records!AJ136="","",Records!AJ136)</f>
        <v/>
      </c>
      <c r="W136" s="336">
        <f>IF(Records!AK136="","",Records!AK136)</f>
        <v/>
      </c>
      <c r="X136" s="336">
        <f>IF(Records!AL136="","",Records!AL136)</f>
        <v/>
      </c>
      <c r="Y136" s="336">
        <f>IF(Records!AM136="","",Records!AM136)</f>
        <v/>
      </c>
      <c r="Z136" s="336">
        <f>IF(Records!AN136="","",Records!AN136)</f>
        <v/>
      </c>
    </row>
    <row r="137">
      <c r="A137" s="335">
        <f>IF(Records!A137="","",Records!A137)</f>
        <v/>
      </c>
      <c r="B137" s="335">
        <f>IF(Records!B137="","",Records!B137)</f>
        <v/>
      </c>
      <c r="C137" s="336">
        <f>IF(Records!H137="","",Records!H137)</f>
        <v/>
      </c>
      <c r="D137" s="336">
        <f>IF(Records!F137="","",Records!F137)</f>
        <v/>
      </c>
      <c r="E137" s="337">
        <f>IF(AND(COUNTIFS(Participants!$A$3:$A$26,Records!A137,Participants!$V$3:$V$26,"是")=1,Records!AB137="是",Records!AC137="是",Records!AD137="是",COUNT(Records!K137,Records!L137,Records!M137,Records!O137,Records!P137,Records!Q137,Records!R137,Records!S137,Records!T137,Records!U137,Records!V137,Records!W137,Records!X137)=13),"是","否")</f>
        <v/>
      </c>
      <c r="F137" s="336">
        <f>IF(Records!K137="","",Records!K137)</f>
        <v/>
      </c>
      <c r="G137" s="336">
        <f>IF(Records!R137="","",Records!R137)</f>
        <v/>
      </c>
      <c r="H137" s="336">
        <f>IF(Records!L137="","",Records!L137)</f>
        <v/>
      </c>
      <c r="I137" s="336">
        <f>IF(Records!M137="","",Records!M137)</f>
        <v/>
      </c>
      <c r="J137" s="336">
        <f>IF(Records!Q137="","",Records!Q137)</f>
        <v/>
      </c>
      <c r="K137" s="336">
        <f>IF(Records!W137="","",Records!W137)</f>
        <v/>
      </c>
      <c r="L137" s="336">
        <f>IF(Records!X137="","",Records!X137)</f>
        <v/>
      </c>
      <c r="M137" s="336">
        <f>IF(COUNT(Records!S137,Records!T137,Records!U137)=3,AVERAGE(Records!S137,Records!T137,Records!U137),"")</f>
        <v/>
      </c>
      <c r="N137" s="336">
        <f>IF(COUNT(Records!V137,Records!O137,Records!P137)=3,AVERAGE(Records!V137,Records!O137,Records!P137),"")</f>
        <v/>
      </c>
      <c r="O137" s="336">
        <f>IF(Records!N137="","",Records!N137)</f>
        <v/>
      </c>
      <c r="P137" s="337">
        <f>IF(Records!AA137="","",IF(Records!AA137&gt;150,"是","否"))</f>
        <v/>
      </c>
      <c r="Q137" s="337">
        <f>IF(COUNT(Records!K137,Records!L137,Records!M137,Records!O137,Records!P137,Records!Q137,Records!R137,Records!S137,Records!T137,Records!U137,Records!V137,Records!W137,Records!X137)&lt;13,"",IF(OR(AND(Records!K137=Records!L137,Records!L137=Records!M137,Records!M137=Records!O137,Records!O137=Records!P137),AND(Records!L137=Records!M137,Records!M137=Records!O137,Records!O137=Records!P137,Records!P137=Records!Q137),AND(Records!M137=Records!O137,Records!O137=Records!P137,Records!P137=Records!Q137,Records!Q137=Records!R137),AND(Records!O137=Records!P137,Records!P137=Records!Q137,Records!Q137=Records!R137,Records!R137=Records!S137),AND(Records!P137=Records!Q137,Records!Q137=Records!R137,Records!R137=Records!S137,Records!S137=Records!T137),AND(Records!Q137=Records!R137,Records!R137=Records!S137,Records!S137=Records!T137,Records!T137=Records!U137),AND(Records!R137=Records!S137,Records!S137=Records!T137,Records!T137=Records!U137,Records!U137=Records!V137),AND(Records!S137=Records!T137,Records!T137=Records!U137,Records!U137=Records!V137,Records!V137=Records!W137),AND(Records!T137=Records!U137,Records!U137=Records!V137,Records!V137=Records!W137,Records!W137=Records!X137)),"是","否"))</f>
        <v/>
      </c>
      <c r="R137" s="336">
        <f>IF(Records!AF137="","",Records!AF137)</f>
        <v/>
      </c>
      <c r="S137" s="336">
        <f>IF(Records!AG137="","",Records!AG137)</f>
        <v/>
      </c>
      <c r="T137" s="336">
        <f>IF(Records!AH137="","",Records!AH137)</f>
        <v/>
      </c>
      <c r="U137" s="336">
        <f>IF(Records!AI137="","",Records!AI137)</f>
        <v/>
      </c>
      <c r="V137" s="336">
        <f>IF(Records!AJ137="","",Records!AJ137)</f>
        <v/>
      </c>
      <c r="W137" s="336">
        <f>IF(Records!AK137="","",Records!AK137)</f>
        <v/>
      </c>
      <c r="X137" s="336">
        <f>IF(Records!AL137="","",Records!AL137)</f>
        <v/>
      </c>
      <c r="Y137" s="336">
        <f>IF(Records!AM137="","",Records!AM137)</f>
        <v/>
      </c>
      <c r="Z137" s="336">
        <f>IF(Records!AN137="","",Records!AN137)</f>
        <v/>
      </c>
    </row>
    <row r="138">
      <c r="A138" s="335">
        <f>IF(Records!A138="","",Records!A138)</f>
        <v/>
      </c>
      <c r="B138" s="335">
        <f>IF(Records!B138="","",Records!B138)</f>
        <v/>
      </c>
      <c r="C138" s="336">
        <f>IF(Records!H138="","",Records!H138)</f>
        <v/>
      </c>
      <c r="D138" s="336">
        <f>IF(Records!F138="","",Records!F138)</f>
        <v/>
      </c>
      <c r="E138" s="337">
        <f>IF(AND(COUNTIFS(Participants!$A$3:$A$26,Records!A138,Participants!$V$3:$V$26,"是")=1,Records!AB138="是",Records!AC138="是",Records!AD138="是",COUNT(Records!K138,Records!L138,Records!M138,Records!O138,Records!P138,Records!Q138,Records!R138,Records!S138,Records!T138,Records!U138,Records!V138,Records!W138,Records!X138)=13),"是","否")</f>
        <v/>
      </c>
      <c r="F138" s="336">
        <f>IF(Records!K138="","",Records!K138)</f>
        <v/>
      </c>
      <c r="G138" s="336">
        <f>IF(Records!R138="","",Records!R138)</f>
        <v/>
      </c>
      <c r="H138" s="336">
        <f>IF(Records!L138="","",Records!L138)</f>
        <v/>
      </c>
      <c r="I138" s="336">
        <f>IF(Records!M138="","",Records!M138)</f>
        <v/>
      </c>
      <c r="J138" s="336">
        <f>IF(Records!Q138="","",Records!Q138)</f>
        <v/>
      </c>
      <c r="K138" s="336">
        <f>IF(Records!W138="","",Records!W138)</f>
        <v/>
      </c>
      <c r="L138" s="336">
        <f>IF(Records!X138="","",Records!X138)</f>
        <v/>
      </c>
      <c r="M138" s="336">
        <f>IF(COUNT(Records!S138,Records!T138,Records!U138)=3,AVERAGE(Records!S138,Records!T138,Records!U138),"")</f>
        <v/>
      </c>
      <c r="N138" s="336">
        <f>IF(COUNT(Records!V138,Records!O138,Records!P138)=3,AVERAGE(Records!V138,Records!O138,Records!P138),"")</f>
        <v/>
      </c>
      <c r="O138" s="336">
        <f>IF(Records!N138="","",Records!N138)</f>
        <v/>
      </c>
      <c r="P138" s="337">
        <f>IF(Records!AA138="","",IF(Records!AA138&gt;150,"是","否"))</f>
        <v/>
      </c>
      <c r="Q138" s="337">
        <f>IF(COUNT(Records!K138,Records!L138,Records!M138,Records!O138,Records!P138,Records!Q138,Records!R138,Records!S138,Records!T138,Records!U138,Records!V138,Records!W138,Records!X138)&lt;13,"",IF(OR(AND(Records!K138=Records!L138,Records!L138=Records!M138,Records!M138=Records!O138,Records!O138=Records!P138),AND(Records!L138=Records!M138,Records!M138=Records!O138,Records!O138=Records!P138,Records!P138=Records!Q138),AND(Records!M138=Records!O138,Records!O138=Records!P138,Records!P138=Records!Q138,Records!Q138=Records!R138),AND(Records!O138=Records!P138,Records!P138=Records!Q138,Records!Q138=Records!R138,Records!R138=Records!S138),AND(Records!P138=Records!Q138,Records!Q138=Records!R138,Records!R138=Records!S138,Records!S138=Records!T138),AND(Records!Q138=Records!R138,Records!R138=Records!S138,Records!S138=Records!T138,Records!T138=Records!U138),AND(Records!R138=Records!S138,Records!S138=Records!T138,Records!T138=Records!U138,Records!U138=Records!V138),AND(Records!S138=Records!T138,Records!T138=Records!U138,Records!U138=Records!V138,Records!V138=Records!W138),AND(Records!T138=Records!U138,Records!U138=Records!V138,Records!V138=Records!W138,Records!W138=Records!X138)),"是","否"))</f>
        <v/>
      </c>
      <c r="R138" s="336">
        <f>IF(Records!AF138="","",Records!AF138)</f>
        <v/>
      </c>
      <c r="S138" s="336">
        <f>IF(Records!AG138="","",Records!AG138)</f>
        <v/>
      </c>
      <c r="T138" s="336">
        <f>IF(Records!AH138="","",Records!AH138)</f>
        <v/>
      </c>
      <c r="U138" s="336">
        <f>IF(Records!AI138="","",Records!AI138)</f>
        <v/>
      </c>
      <c r="V138" s="336">
        <f>IF(Records!AJ138="","",Records!AJ138)</f>
        <v/>
      </c>
      <c r="W138" s="336">
        <f>IF(Records!AK138="","",Records!AK138)</f>
        <v/>
      </c>
      <c r="X138" s="336">
        <f>IF(Records!AL138="","",Records!AL138)</f>
        <v/>
      </c>
      <c r="Y138" s="336">
        <f>IF(Records!AM138="","",Records!AM138)</f>
        <v/>
      </c>
      <c r="Z138" s="336">
        <f>IF(Records!AN138="","",Records!AN138)</f>
        <v/>
      </c>
    </row>
    <row r="139">
      <c r="A139" s="335">
        <f>IF(Records!A139="","",Records!A139)</f>
        <v/>
      </c>
      <c r="B139" s="335">
        <f>IF(Records!B139="","",Records!B139)</f>
        <v/>
      </c>
      <c r="C139" s="336">
        <f>IF(Records!H139="","",Records!H139)</f>
        <v/>
      </c>
      <c r="D139" s="336">
        <f>IF(Records!F139="","",Records!F139)</f>
        <v/>
      </c>
      <c r="E139" s="337">
        <f>IF(AND(COUNTIFS(Participants!$A$3:$A$26,Records!A139,Participants!$V$3:$V$26,"是")=1,Records!AB139="是",Records!AC139="是",Records!AD139="是",COUNT(Records!K139,Records!L139,Records!M139,Records!O139,Records!P139,Records!Q139,Records!R139,Records!S139,Records!T139,Records!U139,Records!V139,Records!W139,Records!X139)=13),"是","否")</f>
        <v/>
      </c>
      <c r="F139" s="336">
        <f>IF(Records!K139="","",Records!K139)</f>
        <v/>
      </c>
      <c r="G139" s="336">
        <f>IF(Records!R139="","",Records!R139)</f>
        <v/>
      </c>
      <c r="H139" s="336">
        <f>IF(Records!L139="","",Records!L139)</f>
        <v/>
      </c>
      <c r="I139" s="336">
        <f>IF(Records!M139="","",Records!M139)</f>
        <v/>
      </c>
      <c r="J139" s="336">
        <f>IF(Records!Q139="","",Records!Q139)</f>
        <v/>
      </c>
      <c r="K139" s="336">
        <f>IF(Records!W139="","",Records!W139)</f>
        <v/>
      </c>
      <c r="L139" s="336">
        <f>IF(Records!X139="","",Records!X139)</f>
        <v/>
      </c>
      <c r="M139" s="336">
        <f>IF(COUNT(Records!S139,Records!T139,Records!U139)=3,AVERAGE(Records!S139,Records!T139,Records!U139),"")</f>
        <v/>
      </c>
      <c r="N139" s="336">
        <f>IF(COUNT(Records!V139,Records!O139,Records!P139)=3,AVERAGE(Records!V139,Records!O139,Records!P139),"")</f>
        <v/>
      </c>
      <c r="O139" s="336">
        <f>IF(Records!N139="","",Records!N139)</f>
        <v/>
      </c>
      <c r="P139" s="337">
        <f>IF(Records!AA139="","",IF(Records!AA139&gt;150,"是","否"))</f>
        <v/>
      </c>
      <c r="Q139" s="337">
        <f>IF(COUNT(Records!K139,Records!L139,Records!M139,Records!O139,Records!P139,Records!Q139,Records!R139,Records!S139,Records!T139,Records!U139,Records!V139,Records!W139,Records!X139)&lt;13,"",IF(OR(AND(Records!K139=Records!L139,Records!L139=Records!M139,Records!M139=Records!O139,Records!O139=Records!P139),AND(Records!L139=Records!M139,Records!M139=Records!O139,Records!O139=Records!P139,Records!P139=Records!Q139),AND(Records!M139=Records!O139,Records!O139=Records!P139,Records!P139=Records!Q139,Records!Q139=Records!R139),AND(Records!O139=Records!P139,Records!P139=Records!Q139,Records!Q139=Records!R139,Records!R139=Records!S139),AND(Records!P139=Records!Q139,Records!Q139=Records!R139,Records!R139=Records!S139,Records!S139=Records!T139),AND(Records!Q139=Records!R139,Records!R139=Records!S139,Records!S139=Records!T139,Records!T139=Records!U139),AND(Records!R139=Records!S139,Records!S139=Records!T139,Records!T139=Records!U139,Records!U139=Records!V139),AND(Records!S139=Records!T139,Records!T139=Records!U139,Records!U139=Records!V139,Records!V139=Records!W139),AND(Records!T139=Records!U139,Records!U139=Records!V139,Records!V139=Records!W139,Records!W139=Records!X139)),"是","否"))</f>
        <v/>
      </c>
      <c r="R139" s="336">
        <f>IF(Records!AF139="","",Records!AF139)</f>
        <v/>
      </c>
      <c r="S139" s="336">
        <f>IF(Records!AG139="","",Records!AG139)</f>
        <v/>
      </c>
      <c r="T139" s="336">
        <f>IF(Records!AH139="","",Records!AH139)</f>
        <v/>
      </c>
      <c r="U139" s="336">
        <f>IF(Records!AI139="","",Records!AI139)</f>
        <v/>
      </c>
      <c r="V139" s="336">
        <f>IF(Records!AJ139="","",Records!AJ139)</f>
        <v/>
      </c>
      <c r="W139" s="336">
        <f>IF(Records!AK139="","",Records!AK139)</f>
        <v/>
      </c>
      <c r="X139" s="336">
        <f>IF(Records!AL139="","",Records!AL139)</f>
        <v/>
      </c>
      <c r="Y139" s="336">
        <f>IF(Records!AM139="","",Records!AM139)</f>
        <v/>
      </c>
      <c r="Z139" s="336">
        <f>IF(Records!AN139="","",Records!AN139)</f>
        <v/>
      </c>
    </row>
    <row r="140">
      <c r="A140" s="335">
        <f>IF(Records!A140="","",Records!A140)</f>
        <v/>
      </c>
      <c r="B140" s="335">
        <f>IF(Records!B140="","",Records!B140)</f>
        <v/>
      </c>
      <c r="C140" s="336">
        <f>IF(Records!H140="","",Records!H140)</f>
        <v/>
      </c>
      <c r="D140" s="336">
        <f>IF(Records!F140="","",Records!F140)</f>
        <v/>
      </c>
      <c r="E140" s="337">
        <f>IF(AND(COUNTIFS(Participants!$A$3:$A$26,Records!A140,Participants!$V$3:$V$26,"是")=1,Records!AB140="是",Records!AC140="是",Records!AD140="是",COUNT(Records!K140,Records!L140,Records!M140,Records!O140,Records!P140,Records!Q140,Records!R140,Records!S140,Records!T140,Records!U140,Records!V140,Records!W140,Records!X140)=13),"是","否")</f>
        <v/>
      </c>
      <c r="F140" s="336">
        <f>IF(Records!K140="","",Records!K140)</f>
        <v/>
      </c>
      <c r="G140" s="336">
        <f>IF(Records!R140="","",Records!R140)</f>
        <v/>
      </c>
      <c r="H140" s="336">
        <f>IF(Records!L140="","",Records!L140)</f>
        <v/>
      </c>
      <c r="I140" s="336">
        <f>IF(Records!M140="","",Records!M140)</f>
        <v/>
      </c>
      <c r="J140" s="336">
        <f>IF(Records!Q140="","",Records!Q140)</f>
        <v/>
      </c>
      <c r="K140" s="336">
        <f>IF(Records!W140="","",Records!W140)</f>
        <v/>
      </c>
      <c r="L140" s="336">
        <f>IF(Records!X140="","",Records!X140)</f>
        <v/>
      </c>
      <c r="M140" s="336">
        <f>IF(COUNT(Records!S140,Records!T140,Records!U140)=3,AVERAGE(Records!S140,Records!T140,Records!U140),"")</f>
        <v/>
      </c>
      <c r="N140" s="336">
        <f>IF(COUNT(Records!V140,Records!O140,Records!P140)=3,AVERAGE(Records!V140,Records!O140,Records!P140),"")</f>
        <v/>
      </c>
      <c r="O140" s="336">
        <f>IF(Records!N140="","",Records!N140)</f>
        <v/>
      </c>
      <c r="P140" s="337">
        <f>IF(Records!AA140="","",IF(Records!AA140&gt;150,"是","否"))</f>
        <v/>
      </c>
      <c r="Q140" s="337">
        <f>IF(COUNT(Records!K140,Records!L140,Records!M140,Records!O140,Records!P140,Records!Q140,Records!R140,Records!S140,Records!T140,Records!U140,Records!V140,Records!W140,Records!X140)&lt;13,"",IF(OR(AND(Records!K140=Records!L140,Records!L140=Records!M140,Records!M140=Records!O140,Records!O140=Records!P140),AND(Records!L140=Records!M140,Records!M140=Records!O140,Records!O140=Records!P140,Records!P140=Records!Q140),AND(Records!M140=Records!O140,Records!O140=Records!P140,Records!P140=Records!Q140,Records!Q140=Records!R140),AND(Records!O140=Records!P140,Records!P140=Records!Q140,Records!Q140=Records!R140,Records!R140=Records!S140),AND(Records!P140=Records!Q140,Records!Q140=Records!R140,Records!R140=Records!S140,Records!S140=Records!T140),AND(Records!Q140=Records!R140,Records!R140=Records!S140,Records!S140=Records!T140,Records!T140=Records!U140),AND(Records!R140=Records!S140,Records!S140=Records!T140,Records!T140=Records!U140,Records!U140=Records!V140),AND(Records!S140=Records!T140,Records!T140=Records!U140,Records!U140=Records!V140,Records!V140=Records!W140),AND(Records!T140=Records!U140,Records!U140=Records!V140,Records!V140=Records!W140,Records!W140=Records!X140)),"是","否"))</f>
        <v/>
      </c>
      <c r="R140" s="336">
        <f>IF(Records!AF140="","",Records!AF140)</f>
        <v/>
      </c>
      <c r="S140" s="336">
        <f>IF(Records!AG140="","",Records!AG140)</f>
        <v/>
      </c>
      <c r="T140" s="336">
        <f>IF(Records!AH140="","",Records!AH140)</f>
        <v/>
      </c>
      <c r="U140" s="336">
        <f>IF(Records!AI140="","",Records!AI140)</f>
        <v/>
      </c>
      <c r="V140" s="336">
        <f>IF(Records!AJ140="","",Records!AJ140)</f>
        <v/>
      </c>
      <c r="W140" s="336">
        <f>IF(Records!AK140="","",Records!AK140)</f>
        <v/>
      </c>
      <c r="X140" s="336">
        <f>IF(Records!AL140="","",Records!AL140)</f>
        <v/>
      </c>
      <c r="Y140" s="336">
        <f>IF(Records!AM140="","",Records!AM140)</f>
        <v/>
      </c>
      <c r="Z140" s="336">
        <f>IF(Records!AN140="","",Records!AN140)</f>
        <v/>
      </c>
    </row>
    <row r="141">
      <c r="A141" s="335">
        <f>IF(Records!A141="","",Records!A141)</f>
        <v/>
      </c>
      <c r="B141" s="335">
        <f>IF(Records!B141="","",Records!B141)</f>
        <v/>
      </c>
      <c r="C141" s="336">
        <f>IF(Records!H141="","",Records!H141)</f>
        <v/>
      </c>
      <c r="D141" s="336">
        <f>IF(Records!F141="","",Records!F141)</f>
        <v/>
      </c>
      <c r="E141" s="337">
        <f>IF(AND(COUNTIFS(Participants!$A$3:$A$26,Records!A141,Participants!$V$3:$V$26,"是")=1,Records!AB141="是",Records!AC141="是",Records!AD141="是",COUNT(Records!K141,Records!L141,Records!M141,Records!O141,Records!P141,Records!Q141,Records!R141,Records!S141,Records!T141,Records!U141,Records!V141,Records!W141,Records!X141)=13),"是","否")</f>
        <v/>
      </c>
      <c r="F141" s="336">
        <f>IF(Records!K141="","",Records!K141)</f>
        <v/>
      </c>
      <c r="G141" s="336">
        <f>IF(Records!R141="","",Records!R141)</f>
        <v/>
      </c>
      <c r="H141" s="336">
        <f>IF(Records!L141="","",Records!L141)</f>
        <v/>
      </c>
      <c r="I141" s="336">
        <f>IF(Records!M141="","",Records!M141)</f>
        <v/>
      </c>
      <c r="J141" s="336">
        <f>IF(Records!Q141="","",Records!Q141)</f>
        <v/>
      </c>
      <c r="K141" s="336">
        <f>IF(Records!W141="","",Records!W141)</f>
        <v/>
      </c>
      <c r="L141" s="336">
        <f>IF(Records!X141="","",Records!X141)</f>
        <v/>
      </c>
      <c r="M141" s="336">
        <f>IF(COUNT(Records!S141,Records!T141,Records!U141)=3,AVERAGE(Records!S141,Records!T141,Records!U141),"")</f>
        <v/>
      </c>
      <c r="N141" s="336">
        <f>IF(COUNT(Records!V141,Records!O141,Records!P141)=3,AVERAGE(Records!V141,Records!O141,Records!P141),"")</f>
        <v/>
      </c>
      <c r="O141" s="336">
        <f>IF(Records!N141="","",Records!N141)</f>
        <v/>
      </c>
      <c r="P141" s="337">
        <f>IF(Records!AA141="","",IF(Records!AA141&gt;150,"是","否"))</f>
        <v/>
      </c>
      <c r="Q141" s="337">
        <f>IF(COUNT(Records!K141,Records!L141,Records!M141,Records!O141,Records!P141,Records!Q141,Records!R141,Records!S141,Records!T141,Records!U141,Records!V141,Records!W141,Records!X141)&lt;13,"",IF(OR(AND(Records!K141=Records!L141,Records!L141=Records!M141,Records!M141=Records!O141,Records!O141=Records!P141),AND(Records!L141=Records!M141,Records!M141=Records!O141,Records!O141=Records!P141,Records!P141=Records!Q141),AND(Records!M141=Records!O141,Records!O141=Records!P141,Records!P141=Records!Q141,Records!Q141=Records!R141),AND(Records!O141=Records!P141,Records!P141=Records!Q141,Records!Q141=Records!R141,Records!R141=Records!S141),AND(Records!P141=Records!Q141,Records!Q141=Records!R141,Records!R141=Records!S141,Records!S141=Records!T141),AND(Records!Q141=Records!R141,Records!R141=Records!S141,Records!S141=Records!T141,Records!T141=Records!U141),AND(Records!R141=Records!S141,Records!S141=Records!T141,Records!T141=Records!U141,Records!U141=Records!V141),AND(Records!S141=Records!T141,Records!T141=Records!U141,Records!U141=Records!V141,Records!V141=Records!W141),AND(Records!T141=Records!U141,Records!U141=Records!V141,Records!V141=Records!W141,Records!W141=Records!X141)),"是","否"))</f>
        <v/>
      </c>
      <c r="R141" s="336">
        <f>IF(Records!AF141="","",Records!AF141)</f>
        <v/>
      </c>
      <c r="S141" s="336">
        <f>IF(Records!AG141="","",Records!AG141)</f>
        <v/>
      </c>
      <c r="T141" s="336">
        <f>IF(Records!AH141="","",Records!AH141)</f>
        <v/>
      </c>
      <c r="U141" s="336">
        <f>IF(Records!AI141="","",Records!AI141)</f>
        <v/>
      </c>
      <c r="V141" s="336">
        <f>IF(Records!AJ141="","",Records!AJ141)</f>
        <v/>
      </c>
      <c r="W141" s="336">
        <f>IF(Records!AK141="","",Records!AK141)</f>
        <v/>
      </c>
      <c r="X141" s="336">
        <f>IF(Records!AL141="","",Records!AL141)</f>
        <v/>
      </c>
      <c r="Y141" s="336">
        <f>IF(Records!AM141="","",Records!AM141)</f>
        <v/>
      </c>
      <c r="Z141" s="336">
        <f>IF(Records!AN141="","",Records!AN141)</f>
        <v/>
      </c>
    </row>
    <row r="142">
      <c r="A142" s="335">
        <f>IF(Records!A142="","",Records!A142)</f>
        <v/>
      </c>
      <c r="B142" s="335">
        <f>IF(Records!B142="","",Records!B142)</f>
        <v/>
      </c>
      <c r="C142" s="336">
        <f>IF(Records!H142="","",Records!H142)</f>
        <v/>
      </c>
      <c r="D142" s="336">
        <f>IF(Records!F142="","",Records!F142)</f>
        <v/>
      </c>
      <c r="E142" s="337">
        <f>IF(AND(COUNTIFS(Participants!$A$3:$A$26,Records!A142,Participants!$V$3:$V$26,"是")=1,Records!AB142="是",Records!AC142="是",Records!AD142="是",COUNT(Records!K142,Records!L142,Records!M142,Records!O142,Records!P142,Records!Q142,Records!R142,Records!S142,Records!T142,Records!U142,Records!V142,Records!W142,Records!X142)=13),"是","否")</f>
        <v/>
      </c>
      <c r="F142" s="336">
        <f>IF(Records!K142="","",Records!K142)</f>
        <v/>
      </c>
      <c r="G142" s="336">
        <f>IF(Records!R142="","",Records!R142)</f>
        <v/>
      </c>
      <c r="H142" s="336">
        <f>IF(Records!L142="","",Records!L142)</f>
        <v/>
      </c>
      <c r="I142" s="336">
        <f>IF(Records!M142="","",Records!M142)</f>
        <v/>
      </c>
      <c r="J142" s="336">
        <f>IF(Records!Q142="","",Records!Q142)</f>
        <v/>
      </c>
      <c r="K142" s="336">
        <f>IF(Records!W142="","",Records!W142)</f>
        <v/>
      </c>
      <c r="L142" s="336">
        <f>IF(Records!X142="","",Records!X142)</f>
        <v/>
      </c>
      <c r="M142" s="336">
        <f>IF(COUNT(Records!S142,Records!T142,Records!U142)=3,AVERAGE(Records!S142,Records!T142,Records!U142),"")</f>
        <v/>
      </c>
      <c r="N142" s="336">
        <f>IF(COUNT(Records!V142,Records!O142,Records!P142)=3,AVERAGE(Records!V142,Records!O142,Records!P142),"")</f>
        <v/>
      </c>
      <c r="O142" s="336">
        <f>IF(Records!N142="","",Records!N142)</f>
        <v/>
      </c>
      <c r="P142" s="337">
        <f>IF(Records!AA142="","",IF(Records!AA142&gt;150,"是","否"))</f>
        <v/>
      </c>
      <c r="Q142" s="337">
        <f>IF(COUNT(Records!K142,Records!L142,Records!M142,Records!O142,Records!P142,Records!Q142,Records!R142,Records!S142,Records!T142,Records!U142,Records!V142,Records!W142,Records!X142)&lt;13,"",IF(OR(AND(Records!K142=Records!L142,Records!L142=Records!M142,Records!M142=Records!O142,Records!O142=Records!P142),AND(Records!L142=Records!M142,Records!M142=Records!O142,Records!O142=Records!P142,Records!P142=Records!Q142),AND(Records!M142=Records!O142,Records!O142=Records!P142,Records!P142=Records!Q142,Records!Q142=Records!R142),AND(Records!O142=Records!P142,Records!P142=Records!Q142,Records!Q142=Records!R142,Records!R142=Records!S142),AND(Records!P142=Records!Q142,Records!Q142=Records!R142,Records!R142=Records!S142,Records!S142=Records!T142),AND(Records!Q142=Records!R142,Records!R142=Records!S142,Records!S142=Records!T142,Records!T142=Records!U142),AND(Records!R142=Records!S142,Records!S142=Records!T142,Records!T142=Records!U142,Records!U142=Records!V142),AND(Records!S142=Records!T142,Records!T142=Records!U142,Records!U142=Records!V142,Records!V142=Records!W142),AND(Records!T142=Records!U142,Records!U142=Records!V142,Records!V142=Records!W142,Records!W142=Records!X142)),"是","否"))</f>
        <v/>
      </c>
      <c r="R142" s="336">
        <f>IF(Records!AF142="","",Records!AF142)</f>
        <v/>
      </c>
      <c r="S142" s="336">
        <f>IF(Records!AG142="","",Records!AG142)</f>
        <v/>
      </c>
      <c r="T142" s="336">
        <f>IF(Records!AH142="","",Records!AH142)</f>
        <v/>
      </c>
      <c r="U142" s="336">
        <f>IF(Records!AI142="","",Records!AI142)</f>
        <v/>
      </c>
      <c r="V142" s="336">
        <f>IF(Records!AJ142="","",Records!AJ142)</f>
        <v/>
      </c>
      <c r="W142" s="336">
        <f>IF(Records!AK142="","",Records!AK142)</f>
        <v/>
      </c>
      <c r="X142" s="336">
        <f>IF(Records!AL142="","",Records!AL142)</f>
        <v/>
      </c>
      <c r="Y142" s="336">
        <f>IF(Records!AM142="","",Records!AM142)</f>
        <v/>
      </c>
      <c r="Z142" s="336">
        <f>IF(Records!AN142="","",Records!AN142)</f>
        <v/>
      </c>
    </row>
    <row r="143">
      <c r="A143" s="335">
        <f>IF(Records!A143="","",Records!A143)</f>
        <v/>
      </c>
      <c r="B143" s="335">
        <f>IF(Records!B143="","",Records!B143)</f>
        <v/>
      </c>
      <c r="C143" s="336">
        <f>IF(Records!H143="","",Records!H143)</f>
        <v/>
      </c>
      <c r="D143" s="336">
        <f>IF(Records!F143="","",Records!F143)</f>
        <v/>
      </c>
      <c r="E143" s="337">
        <f>IF(AND(COUNTIFS(Participants!$A$3:$A$26,Records!A143,Participants!$V$3:$V$26,"是")=1,Records!AB143="是",Records!AC143="是",Records!AD143="是",COUNT(Records!K143,Records!L143,Records!M143,Records!O143,Records!P143,Records!Q143,Records!R143,Records!S143,Records!T143,Records!U143,Records!V143,Records!W143,Records!X143)=13),"是","否")</f>
        <v/>
      </c>
      <c r="F143" s="336">
        <f>IF(Records!K143="","",Records!K143)</f>
        <v/>
      </c>
      <c r="G143" s="336">
        <f>IF(Records!R143="","",Records!R143)</f>
        <v/>
      </c>
      <c r="H143" s="336">
        <f>IF(Records!L143="","",Records!L143)</f>
        <v/>
      </c>
      <c r="I143" s="336">
        <f>IF(Records!M143="","",Records!M143)</f>
        <v/>
      </c>
      <c r="J143" s="336">
        <f>IF(Records!Q143="","",Records!Q143)</f>
        <v/>
      </c>
      <c r="K143" s="336">
        <f>IF(Records!W143="","",Records!W143)</f>
        <v/>
      </c>
      <c r="L143" s="336">
        <f>IF(Records!X143="","",Records!X143)</f>
        <v/>
      </c>
      <c r="M143" s="336">
        <f>IF(COUNT(Records!S143,Records!T143,Records!U143)=3,AVERAGE(Records!S143,Records!T143,Records!U143),"")</f>
        <v/>
      </c>
      <c r="N143" s="336">
        <f>IF(COUNT(Records!V143,Records!O143,Records!P143)=3,AVERAGE(Records!V143,Records!O143,Records!P143),"")</f>
        <v/>
      </c>
      <c r="O143" s="336">
        <f>IF(Records!N143="","",Records!N143)</f>
        <v/>
      </c>
      <c r="P143" s="337">
        <f>IF(Records!AA143="","",IF(Records!AA143&gt;150,"是","否"))</f>
        <v/>
      </c>
      <c r="Q143" s="337">
        <f>IF(COUNT(Records!K143,Records!L143,Records!M143,Records!O143,Records!P143,Records!Q143,Records!R143,Records!S143,Records!T143,Records!U143,Records!V143,Records!W143,Records!X143)&lt;13,"",IF(OR(AND(Records!K143=Records!L143,Records!L143=Records!M143,Records!M143=Records!O143,Records!O143=Records!P143),AND(Records!L143=Records!M143,Records!M143=Records!O143,Records!O143=Records!P143,Records!P143=Records!Q143),AND(Records!M143=Records!O143,Records!O143=Records!P143,Records!P143=Records!Q143,Records!Q143=Records!R143),AND(Records!O143=Records!P143,Records!P143=Records!Q143,Records!Q143=Records!R143,Records!R143=Records!S143),AND(Records!P143=Records!Q143,Records!Q143=Records!R143,Records!R143=Records!S143,Records!S143=Records!T143),AND(Records!Q143=Records!R143,Records!R143=Records!S143,Records!S143=Records!T143,Records!T143=Records!U143),AND(Records!R143=Records!S143,Records!S143=Records!T143,Records!T143=Records!U143,Records!U143=Records!V143),AND(Records!S143=Records!T143,Records!T143=Records!U143,Records!U143=Records!V143,Records!V143=Records!W143),AND(Records!T143=Records!U143,Records!U143=Records!V143,Records!V143=Records!W143,Records!W143=Records!X143)),"是","否"))</f>
        <v/>
      </c>
      <c r="R143" s="336">
        <f>IF(Records!AF143="","",Records!AF143)</f>
        <v/>
      </c>
      <c r="S143" s="336">
        <f>IF(Records!AG143="","",Records!AG143)</f>
        <v/>
      </c>
      <c r="T143" s="336">
        <f>IF(Records!AH143="","",Records!AH143)</f>
        <v/>
      </c>
      <c r="U143" s="336">
        <f>IF(Records!AI143="","",Records!AI143)</f>
        <v/>
      </c>
      <c r="V143" s="336">
        <f>IF(Records!AJ143="","",Records!AJ143)</f>
        <v/>
      </c>
      <c r="W143" s="336">
        <f>IF(Records!AK143="","",Records!AK143)</f>
        <v/>
      </c>
      <c r="X143" s="336">
        <f>IF(Records!AL143="","",Records!AL143)</f>
        <v/>
      </c>
      <c r="Y143" s="336">
        <f>IF(Records!AM143="","",Records!AM143)</f>
        <v/>
      </c>
      <c r="Z143" s="336">
        <f>IF(Records!AN143="","",Records!AN143)</f>
        <v/>
      </c>
    </row>
    <row r="144">
      <c r="A144" s="335">
        <f>IF(Records!A144="","",Records!A144)</f>
        <v/>
      </c>
      <c r="B144" s="335">
        <f>IF(Records!B144="","",Records!B144)</f>
        <v/>
      </c>
      <c r="C144" s="336">
        <f>IF(Records!H144="","",Records!H144)</f>
        <v/>
      </c>
      <c r="D144" s="336">
        <f>IF(Records!F144="","",Records!F144)</f>
        <v/>
      </c>
      <c r="E144" s="337">
        <f>IF(AND(COUNTIFS(Participants!$A$3:$A$26,Records!A144,Participants!$V$3:$V$26,"是")=1,Records!AB144="是",Records!AC144="是",Records!AD144="是",COUNT(Records!K144,Records!L144,Records!M144,Records!O144,Records!P144,Records!Q144,Records!R144,Records!S144,Records!T144,Records!U144,Records!V144,Records!W144,Records!X144)=13),"是","否")</f>
        <v/>
      </c>
      <c r="F144" s="336">
        <f>IF(Records!K144="","",Records!K144)</f>
        <v/>
      </c>
      <c r="G144" s="336">
        <f>IF(Records!R144="","",Records!R144)</f>
        <v/>
      </c>
      <c r="H144" s="336">
        <f>IF(Records!L144="","",Records!L144)</f>
        <v/>
      </c>
      <c r="I144" s="336">
        <f>IF(Records!M144="","",Records!M144)</f>
        <v/>
      </c>
      <c r="J144" s="336">
        <f>IF(Records!Q144="","",Records!Q144)</f>
        <v/>
      </c>
      <c r="K144" s="336">
        <f>IF(Records!W144="","",Records!W144)</f>
        <v/>
      </c>
      <c r="L144" s="336">
        <f>IF(Records!X144="","",Records!X144)</f>
        <v/>
      </c>
      <c r="M144" s="336">
        <f>IF(COUNT(Records!S144,Records!T144,Records!U144)=3,AVERAGE(Records!S144,Records!T144,Records!U144),"")</f>
        <v/>
      </c>
      <c r="N144" s="336">
        <f>IF(COUNT(Records!V144,Records!O144,Records!P144)=3,AVERAGE(Records!V144,Records!O144,Records!P144),"")</f>
        <v/>
      </c>
      <c r="O144" s="336">
        <f>IF(Records!N144="","",Records!N144)</f>
        <v/>
      </c>
      <c r="P144" s="337">
        <f>IF(Records!AA144="","",IF(Records!AA144&gt;150,"是","否"))</f>
        <v/>
      </c>
      <c r="Q144" s="337">
        <f>IF(COUNT(Records!K144,Records!L144,Records!M144,Records!O144,Records!P144,Records!Q144,Records!R144,Records!S144,Records!T144,Records!U144,Records!V144,Records!W144,Records!X144)&lt;13,"",IF(OR(AND(Records!K144=Records!L144,Records!L144=Records!M144,Records!M144=Records!O144,Records!O144=Records!P144),AND(Records!L144=Records!M144,Records!M144=Records!O144,Records!O144=Records!P144,Records!P144=Records!Q144),AND(Records!M144=Records!O144,Records!O144=Records!P144,Records!P144=Records!Q144,Records!Q144=Records!R144),AND(Records!O144=Records!P144,Records!P144=Records!Q144,Records!Q144=Records!R144,Records!R144=Records!S144),AND(Records!P144=Records!Q144,Records!Q144=Records!R144,Records!R144=Records!S144,Records!S144=Records!T144),AND(Records!Q144=Records!R144,Records!R144=Records!S144,Records!S144=Records!T144,Records!T144=Records!U144),AND(Records!R144=Records!S144,Records!S144=Records!T144,Records!T144=Records!U144,Records!U144=Records!V144),AND(Records!S144=Records!T144,Records!T144=Records!U144,Records!U144=Records!V144,Records!V144=Records!W144),AND(Records!T144=Records!U144,Records!U144=Records!V144,Records!V144=Records!W144,Records!W144=Records!X144)),"是","否"))</f>
        <v/>
      </c>
      <c r="R144" s="336">
        <f>IF(Records!AF144="","",Records!AF144)</f>
        <v/>
      </c>
      <c r="S144" s="336">
        <f>IF(Records!AG144="","",Records!AG144)</f>
        <v/>
      </c>
      <c r="T144" s="336">
        <f>IF(Records!AH144="","",Records!AH144)</f>
        <v/>
      </c>
      <c r="U144" s="336">
        <f>IF(Records!AI144="","",Records!AI144)</f>
        <v/>
      </c>
      <c r="V144" s="336">
        <f>IF(Records!AJ144="","",Records!AJ144)</f>
        <v/>
      </c>
      <c r="W144" s="336">
        <f>IF(Records!AK144="","",Records!AK144)</f>
        <v/>
      </c>
      <c r="X144" s="336">
        <f>IF(Records!AL144="","",Records!AL144)</f>
        <v/>
      </c>
      <c r="Y144" s="336">
        <f>IF(Records!AM144="","",Records!AM144)</f>
        <v/>
      </c>
      <c r="Z144" s="336">
        <f>IF(Records!AN144="","",Records!AN144)</f>
        <v/>
      </c>
    </row>
    <row r="145">
      <c r="A145" s="335">
        <f>IF(Records!A145="","",Records!A145)</f>
        <v/>
      </c>
      <c r="B145" s="335">
        <f>IF(Records!B145="","",Records!B145)</f>
        <v/>
      </c>
      <c r="C145" s="336">
        <f>IF(Records!H145="","",Records!H145)</f>
        <v/>
      </c>
      <c r="D145" s="336">
        <f>IF(Records!F145="","",Records!F145)</f>
        <v/>
      </c>
      <c r="E145" s="337">
        <f>IF(AND(COUNTIFS(Participants!$A$3:$A$26,Records!A145,Participants!$V$3:$V$26,"是")=1,Records!AB145="是",Records!AC145="是",Records!AD145="是",COUNT(Records!K145,Records!L145,Records!M145,Records!O145,Records!P145,Records!Q145,Records!R145,Records!S145,Records!T145,Records!U145,Records!V145,Records!W145,Records!X145)=13),"是","否")</f>
        <v/>
      </c>
      <c r="F145" s="336">
        <f>IF(Records!K145="","",Records!K145)</f>
        <v/>
      </c>
      <c r="G145" s="336">
        <f>IF(Records!R145="","",Records!R145)</f>
        <v/>
      </c>
      <c r="H145" s="336">
        <f>IF(Records!L145="","",Records!L145)</f>
        <v/>
      </c>
      <c r="I145" s="336">
        <f>IF(Records!M145="","",Records!M145)</f>
        <v/>
      </c>
      <c r="J145" s="336">
        <f>IF(Records!Q145="","",Records!Q145)</f>
        <v/>
      </c>
      <c r="K145" s="336">
        <f>IF(Records!W145="","",Records!W145)</f>
        <v/>
      </c>
      <c r="L145" s="336">
        <f>IF(Records!X145="","",Records!X145)</f>
        <v/>
      </c>
      <c r="M145" s="336">
        <f>IF(COUNT(Records!S145,Records!T145,Records!U145)=3,AVERAGE(Records!S145,Records!T145,Records!U145),"")</f>
        <v/>
      </c>
      <c r="N145" s="336">
        <f>IF(COUNT(Records!V145,Records!O145,Records!P145)=3,AVERAGE(Records!V145,Records!O145,Records!P145),"")</f>
        <v/>
      </c>
      <c r="O145" s="336">
        <f>IF(Records!N145="","",Records!N145)</f>
        <v/>
      </c>
      <c r="P145" s="337">
        <f>IF(Records!AA145="","",IF(Records!AA145&gt;150,"是","否"))</f>
        <v/>
      </c>
      <c r="Q145" s="337">
        <f>IF(COUNT(Records!K145,Records!L145,Records!M145,Records!O145,Records!P145,Records!Q145,Records!R145,Records!S145,Records!T145,Records!U145,Records!V145,Records!W145,Records!X145)&lt;13,"",IF(OR(AND(Records!K145=Records!L145,Records!L145=Records!M145,Records!M145=Records!O145,Records!O145=Records!P145),AND(Records!L145=Records!M145,Records!M145=Records!O145,Records!O145=Records!P145,Records!P145=Records!Q145),AND(Records!M145=Records!O145,Records!O145=Records!P145,Records!P145=Records!Q145,Records!Q145=Records!R145),AND(Records!O145=Records!P145,Records!P145=Records!Q145,Records!Q145=Records!R145,Records!R145=Records!S145),AND(Records!P145=Records!Q145,Records!Q145=Records!R145,Records!R145=Records!S145,Records!S145=Records!T145),AND(Records!Q145=Records!R145,Records!R145=Records!S145,Records!S145=Records!T145,Records!T145=Records!U145),AND(Records!R145=Records!S145,Records!S145=Records!T145,Records!T145=Records!U145,Records!U145=Records!V145),AND(Records!S145=Records!T145,Records!T145=Records!U145,Records!U145=Records!V145,Records!V145=Records!W145),AND(Records!T145=Records!U145,Records!U145=Records!V145,Records!V145=Records!W145,Records!W145=Records!X145)),"是","否"))</f>
        <v/>
      </c>
      <c r="R145" s="336">
        <f>IF(Records!AF145="","",Records!AF145)</f>
        <v/>
      </c>
      <c r="S145" s="336">
        <f>IF(Records!AG145="","",Records!AG145)</f>
        <v/>
      </c>
      <c r="T145" s="336">
        <f>IF(Records!AH145="","",Records!AH145)</f>
        <v/>
      </c>
      <c r="U145" s="336">
        <f>IF(Records!AI145="","",Records!AI145)</f>
        <v/>
      </c>
      <c r="V145" s="336">
        <f>IF(Records!AJ145="","",Records!AJ145)</f>
        <v/>
      </c>
      <c r="W145" s="336">
        <f>IF(Records!AK145="","",Records!AK145)</f>
        <v/>
      </c>
      <c r="X145" s="336">
        <f>IF(Records!AL145="","",Records!AL145)</f>
        <v/>
      </c>
      <c r="Y145" s="336">
        <f>IF(Records!AM145="","",Records!AM145)</f>
        <v/>
      </c>
      <c r="Z145" s="336">
        <f>IF(Records!AN145="","",Records!AN145)</f>
        <v/>
      </c>
    </row>
    <row r="146">
      <c r="A146" s="335">
        <f>IF(Records!A146="","",Records!A146)</f>
        <v/>
      </c>
      <c r="B146" s="335">
        <f>IF(Records!B146="","",Records!B146)</f>
        <v/>
      </c>
      <c r="C146" s="336">
        <f>IF(Records!H146="","",Records!H146)</f>
        <v/>
      </c>
      <c r="D146" s="336">
        <f>IF(Records!F146="","",Records!F146)</f>
        <v/>
      </c>
      <c r="E146" s="337">
        <f>IF(AND(COUNTIFS(Participants!$A$3:$A$26,Records!A146,Participants!$V$3:$V$26,"是")=1,Records!AB146="是",Records!AC146="是",Records!AD146="是",COUNT(Records!K146,Records!L146,Records!M146,Records!O146,Records!P146,Records!Q146,Records!R146,Records!S146,Records!T146,Records!U146,Records!V146,Records!W146,Records!X146)=13),"是","否")</f>
        <v/>
      </c>
      <c r="F146" s="336">
        <f>IF(Records!K146="","",Records!K146)</f>
        <v/>
      </c>
      <c r="G146" s="336">
        <f>IF(Records!R146="","",Records!R146)</f>
        <v/>
      </c>
      <c r="H146" s="336">
        <f>IF(Records!L146="","",Records!L146)</f>
        <v/>
      </c>
      <c r="I146" s="336">
        <f>IF(Records!M146="","",Records!M146)</f>
        <v/>
      </c>
      <c r="J146" s="336">
        <f>IF(Records!Q146="","",Records!Q146)</f>
        <v/>
      </c>
      <c r="K146" s="336">
        <f>IF(Records!W146="","",Records!W146)</f>
        <v/>
      </c>
      <c r="L146" s="336">
        <f>IF(Records!X146="","",Records!X146)</f>
        <v/>
      </c>
      <c r="M146" s="336">
        <f>IF(COUNT(Records!S146,Records!T146,Records!U146)=3,AVERAGE(Records!S146,Records!T146,Records!U146),"")</f>
        <v/>
      </c>
      <c r="N146" s="336">
        <f>IF(COUNT(Records!V146,Records!O146,Records!P146)=3,AVERAGE(Records!V146,Records!O146,Records!P146),"")</f>
        <v/>
      </c>
      <c r="O146" s="336">
        <f>IF(Records!N146="","",Records!N146)</f>
        <v/>
      </c>
      <c r="P146" s="337">
        <f>IF(Records!AA146="","",IF(Records!AA146&gt;150,"是","否"))</f>
        <v/>
      </c>
      <c r="Q146" s="337">
        <f>IF(COUNT(Records!K146,Records!L146,Records!M146,Records!O146,Records!P146,Records!Q146,Records!R146,Records!S146,Records!T146,Records!U146,Records!V146,Records!W146,Records!X146)&lt;13,"",IF(OR(AND(Records!K146=Records!L146,Records!L146=Records!M146,Records!M146=Records!O146,Records!O146=Records!P146),AND(Records!L146=Records!M146,Records!M146=Records!O146,Records!O146=Records!P146,Records!P146=Records!Q146),AND(Records!M146=Records!O146,Records!O146=Records!P146,Records!P146=Records!Q146,Records!Q146=Records!R146),AND(Records!O146=Records!P146,Records!P146=Records!Q146,Records!Q146=Records!R146,Records!R146=Records!S146),AND(Records!P146=Records!Q146,Records!Q146=Records!R146,Records!R146=Records!S146,Records!S146=Records!T146),AND(Records!Q146=Records!R146,Records!R146=Records!S146,Records!S146=Records!T146,Records!T146=Records!U146),AND(Records!R146=Records!S146,Records!S146=Records!T146,Records!T146=Records!U146,Records!U146=Records!V146),AND(Records!S146=Records!T146,Records!T146=Records!U146,Records!U146=Records!V146,Records!V146=Records!W146),AND(Records!T146=Records!U146,Records!U146=Records!V146,Records!V146=Records!W146,Records!W146=Records!X146)),"是","否"))</f>
        <v/>
      </c>
      <c r="R146" s="336">
        <f>IF(Records!AF146="","",Records!AF146)</f>
        <v/>
      </c>
      <c r="S146" s="336">
        <f>IF(Records!AG146="","",Records!AG146)</f>
        <v/>
      </c>
      <c r="T146" s="336">
        <f>IF(Records!AH146="","",Records!AH146)</f>
        <v/>
      </c>
      <c r="U146" s="336">
        <f>IF(Records!AI146="","",Records!AI146)</f>
        <v/>
      </c>
      <c r="V146" s="336">
        <f>IF(Records!AJ146="","",Records!AJ146)</f>
        <v/>
      </c>
      <c r="W146" s="336">
        <f>IF(Records!AK146="","",Records!AK146)</f>
        <v/>
      </c>
      <c r="X146" s="336">
        <f>IF(Records!AL146="","",Records!AL146)</f>
        <v/>
      </c>
      <c r="Y146" s="336">
        <f>IF(Records!AM146="","",Records!AM146)</f>
        <v/>
      </c>
      <c r="Z146" s="336">
        <f>IF(Records!AN146="","",Records!AN146)</f>
        <v/>
      </c>
    </row>
    <row r="147">
      <c r="A147" s="335">
        <f>IF(Records!A147="","",Records!A147)</f>
        <v/>
      </c>
      <c r="B147" s="335">
        <f>IF(Records!B147="","",Records!B147)</f>
        <v/>
      </c>
      <c r="C147" s="336">
        <f>IF(Records!H147="","",Records!H147)</f>
        <v/>
      </c>
      <c r="D147" s="336">
        <f>IF(Records!F147="","",Records!F147)</f>
        <v/>
      </c>
      <c r="E147" s="337">
        <f>IF(AND(COUNTIFS(Participants!$A$3:$A$26,Records!A147,Participants!$V$3:$V$26,"是")=1,Records!AB147="是",Records!AC147="是",Records!AD147="是",COUNT(Records!K147,Records!L147,Records!M147,Records!O147,Records!P147,Records!Q147,Records!R147,Records!S147,Records!T147,Records!U147,Records!V147,Records!W147,Records!X147)=13),"是","否")</f>
        <v/>
      </c>
      <c r="F147" s="336">
        <f>IF(Records!K147="","",Records!K147)</f>
        <v/>
      </c>
      <c r="G147" s="336">
        <f>IF(Records!R147="","",Records!R147)</f>
        <v/>
      </c>
      <c r="H147" s="336">
        <f>IF(Records!L147="","",Records!L147)</f>
        <v/>
      </c>
      <c r="I147" s="336">
        <f>IF(Records!M147="","",Records!M147)</f>
        <v/>
      </c>
      <c r="J147" s="336">
        <f>IF(Records!Q147="","",Records!Q147)</f>
        <v/>
      </c>
      <c r="K147" s="336">
        <f>IF(Records!W147="","",Records!W147)</f>
        <v/>
      </c>
      <c r="L147" s="336">
        <f>IF(Records!X147="","",Records!X147)</f>
        <v/>
      </c>
      <c r="M147" s="336">
        <f>IF(COUNT(Records!S147,Records!T147,Records!U147)=3,AVERAGE(Records!S147,Records!T147,Records!U147),"")</f>
        <v/>
      </c>
      <c r="N147" s="336">
        <f>IF(COUNT(Records!V147,Records!O147,Records!P147)=3,AVERAGE(Records!V147,Records!O147,Records!P147),"")</f>
        <v/>
      </c>
      <c r="O147" s="336">
        <f>IF(Records!N147="","",Records!N147)</f>
        <v/>
      </c>
      <c r="P147" s="337">
        <f>IF(Records!AA147="","",IF(Records!AA147&gt;150,"是","否"))</f>
        <v/>
      </c>
      <c r="Q147" s="337">
        <f>IF(COUNT(Records!K147,Records!L147,Records!M147,Records!O147,Records!P147,Records!Q147,Records!R147,Records!S147,Records!T147,Records!U147,Records!V147,Records!W147,Records!X147)&lt;13,"",IF(OR(AND(Records!K147=Records!L147,Records!L147=Records!M147,Records!M147=Records!O147,Records!O147=Records!P147),AND(Records!L147=Records!M147,Records!M147=Records!O147,Records!O147=Records!P147,Records!P147=Records!Q147),AND(Records!M147=Records!O147,Records!O147=Records!P147,Records!P147=Records!Q147,Records!Q147=Records!R147),AND(Records!O147=Records!P147,Records!P147=Records!Q147,Records!Q147=Records!R147,Records!R147=Records!S147),AND(Records!P147=Records!Q147,Records!Q147=Records!R147,Records!R147=Records!S147,Records!S147=Records!T147),AND(Records!Q147=Records!R147,Records!R147=Records!S147,Records!S147=Records!T147,Records!T147=Records!U147),AND(Records!R147=Records!S147,Records!S147=Records!T147,Records!T147=Records!U147,Records!U147=Records!V147),AND(Records!S147=Records!T147,Records!T147=Records!U147,Records!U147=Records!V147,Records!V147=Records!W147),AND(Records!T147=Records!U147,Records!U147=Records!V147,Records!V147=Records!W147,Records!W147=Records!X147)),"是","否"))</f>
        <v/>
      </c>
      <c r="R147" s="336">
        <f>IF(Records!AF147="","",Records!AF147)</f>
        <v/>
      </c>
      <c r="S147" s="336">
        <f>IF(Records!AG147="","",Records!AG147)</f>
        <v/>
      </c>
      <c r="T147" s="336">
        <f>IF(Records!AH147="","",Records!AH147)</f>
        <v/>
      </c>
      <c r="U147" s="336">
        <f>IF(Records!AI147="","",Records!AI147)</f>
        <v/>
      </c>
      <c r="V147" s="336">
        <f>IF(Records!AJ147="","",Records!AJ147)</f>
        <v/>
      </c>
      <c r="W147" s="336">
        <f>IF(Records!AK147="","",Records!AK147)</f>
        <v/>
      </c>
      <c r="X147" s="336">
        <f>IF(Records!AL147="","",Records!AL147)</f>
        <v/>
      </c>
      <c r="Y147" s="336">
        <f>IF(Records!AM147="","",Records!AM147)</f>
        <v/>
      </c>
      <c r="Z147" s="336">
        <f>IF(Records!AN147="","",Records!AN147)</f>
        <v/>
      </c>
    </row>
    <row r="148">
      <c r="A148" s="335">
        <f>IF(Records!A148="","",Records!A148)</f>
        <v/>
      </c>
      <c r="B148" s="335">
        <f>IF(Records!B148="","",Records!B148)</f>
        <v/>
      </c>
      <c r="C148" s="336">
        <f>IF(Records!H148="","",Records!H148)</f>
        <v/>
      </c>
      <c r="D148" s="336">
        <f>IF(Records!F148="","",Records!F148)</f>
        <v/>
      </c>
      <c r="E148" s="337">
        <f>IF(AND(COUNTIFS(Participants!$A$3:$A$26,Records!A148,Participants!$V$3:$V$26,"是")=1,Records!AB148="是",Records!AC148="是",Records!AD148="是",COUNT(Records!K148,Records!L148,Records!M148,Records!O148,Records!P148,Records!Q148,Records!R148,Records!S148,Records!T148,Records!U148,Records!V148,Records!W148,Records!X148)=13),"是","否")</f>
        <v/>
      </c>
      <c r="F148" s="336">
        <f>IF(Records!K148="","",Records!K148)</f>
        <v/>
      </c>
      <c r="G148" s="336">
        <f>IF(Records!R148="","",Records!R148)</f>
        <v/>
      </c>
      <c r="H148" s="336">
        <f>IF(Records!L148="","",Records!L148)</f>
        <v/>
      </c>
      <c r="I148" s="336">
        <f>IF(Records!M148="","",Records!M148)</f>
        <v/>
      </c>
      <c r="J148" s="336">
        <f>IF(Records!Q148="","",Records!Q148)</f>
        <v/>
      </c>
      <c r="K148" s="336">
        <f>IF(Records!W148="","",Records!W148)</f>
        <v/>
      </c>
      <c r="L148" s="336">
        <f>IF(Records!X148="","",Records!X148)</f>
        <v/>
      </c>
      <c r="M148" s="336">
        <f>IF(COUNT(Records!S148,Records!T148,Records!U148)=3,AVERAGE(Records!S148,Records!T148,Records!U148),"")</f>
        <v/>
      </c>
      <c r="N148" s="336">
        <f>IF(COUNT(Records!V148,Records!O148,Records!P148)=3,AVERAGE(Records!V148,Records!O148,Records!P148),"")</f>
        <v/>
      </c>
      <c r="O148" s="336">
        <f>IF(Records!N148="","",Records!N148)</f>
        <v/>
      </c>
      <c r="P148" s="337">
        <f>IF(Records!AA148="","",IF(Records!AA148&gt;150,"是","否"))</f>
        <v/>
      </c>
      <c r="Q148" s="337">
        <f>IF(COUNT(Records!K148,Records!L148,Records!M148,Records!O148,Records!P148,Records!Q148,Records!R148,Records!S148,Records!T148,Records!U148,Records!V148,Records!W148,Records!X148)&lt;13,"",IF(OR(AND(Records!K148=Records!L148,Records!L148=Records!M148,Records!M148=Records!O148,Records!O148=Records!P148),AND(Records!L148=Records!M148,Records!M148=Records!O148,Records!O148=Records!P148,Records!P148=Records!Q148),AND(Records!M148=Records!O148,Records!O148=Records!P148,Records!P148=Records!Q148,Records!Q148=Records!R148),AND(Records!O148=Records!P148,Records!P148=Records!Q148,Records!Q148=Records!R148,Records!R148=Records!S148),AND(Records!P148=Records!Q148,Records!Q148=Records!R148,Records!R148=Records!S148,Records!S148=Records!T148),AND(Records!Q148=Records!R148,Records!R148=Records!S148,Records!S148=Records!T148,Records!T148=Records!U148),AND(Records!R148=Records!S148,Records!S148=Records!T148,Records!T148=Records!U148,Records!U148=Records!V148),AND(Records!S148=Records!T148,Records!T148=Records!U148,Records!U148=Records!V148,Records!V148=Records!W148),AND(Records!T148=Records!U148,Records!U148=Records!V148,Records!V148=Records!W148,Records!W148=Records!X148)),"是","否"))</f>
        <v/>
      </c>
      <c r="R148" s="336">
        <f>IF(Records!AF148="","",Records!AF148)</f>
        <v/>
      </c>
      <c r="S148" s="336">
        <f>IF(Records!AG148="","",Records!AG148)</f>
        <v/>
      </c>
      <c r="T148" s="336">
        <f>IF(Records!AH148="","",Records!AH148)</f>
        <v/>
      </c>
      <c r="U148" s="336">
        <f>IF(Records!AI148="","",Records!AI148)</f>
        <v/>
      </c>
      <c r="V148" s="336">
        <f>IF(Records!AJ148="","",Records!AJ148)</f>
        <v/>
      </c>
      <c r="W148" s="336">
        <f>IF(Records!AK148="","",Records!AK148)</f>
        <v/>
      </c>
      <c r="X148" s="336">
        <f>IF(Records!AL148="","",Records!AL148)</f>
        <v/>
      </c>
      <c r="Y148" s="336">
        <f>IF(Records!AM148="","",Records!AM148)</f>
        <v/>
      </c>
      <c r="Z148" s="336">
        <f>IF(Records!AN148="","",Records!AN148)</f>
        <v/>
      </c>
    </row>
    <row r="149"/>
    <row r="150" ht="23" customHeight="1">
      <c r="A150" s="333" t="inlineStr">
        <is>
          <t>D2. 方法级派生：区分作答完成、记录有效与各分量表可计分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</row>
    <row r="151" ht="30" customHeight="1">
      <c r="A151" s="334" t="inlineStr">
        <is>
          <t>Participant_ID</t>
        </is>
      </c>
      <c r="B151" s="334" t="inlineStr">
        <is>
          <t>Condition</t>
        </is>
      </c>
      <c r="C151" s="334" t="inlineStr">
        <is>
          <t>Assessment_Complete</t>
        </is>
      </c>
      <c r="D151" s="334" t="inlineStr">
        <is>
          <t>Valid_Record</t>
        </is>
      </c>
      <c r="E151" s="334" t="inlineStr">
        <is>
          <t>TIA_RC1</t>
        </is>
      </c>
      <c r="F151" s="334" t="inlineStr">
        <is>
          <t>TIA_RC2</t>
        </is>
      </c>
      <c r="G151" s="334" t="inlineStr">
        <is>
          <t>TIA_RC3</t>
        </is>
      </c>
      <c r="H151" s="334" t="inlineStr">
        <is>
          <t>TIA_RC4</t>
        </is>
      </c>
      <c r="I151" s="334" t="inlineStr">
        <is>
          <t>TIA_RC5</t>
        </is>
      </c>
      <c r="J151" s="334" t="inlineStr">
        <is>
          <t>TIA_RC6</t>
        </is>
      </c>
      <c r="K151" s="334" t="inlineStr">
        <is>
          <t>TIA_UP1</t>
        </is>
      </c>
      <c r="L151" s="334" t="inlineStr">
        <is>
          <t>TIA_UP2</t>
        </is>
      </c>
      <c r="M151" s="334" t="inlineStr">
        <is>
          <t>TIA_UP3</t>
        </is>
      </c>
      <c r="N151" s="334" t="inlineStr">
        <is>
          <t>TIA_UP4</t>
        </is>
      </c>
      <c r="O151" s="334" t="inlineStr">
        <is>
          <t>STIAS1</t>
        </is>
      </c>
      <c r="P151" s="334" t="inlineStr">
        <is>
          <t>STIAS2</t>
        </is>
      </c>
      <c r="Q151" s="334" t="inlineStr">
        <is>
          <t>STIAS3</t>
        </is>
      </c>
      <c r="R151" s="334" t="inlineStr">
        <is>
          <t>TIA_RC</t>
        </is>
      </c>
      <c r="S151" s="334" t="inlineStr">
        <is>
          <t>TIA_UP</t>
        </is>
      </c>
      <c r="T151" s="334" t="inlineStr">
        <is>
          <t>STIAS</t>
        </is>
      </c>
      <c r="U151" s="334" t="inlineStr">
        <is>
          <t>Duration_Seconds</t>
        </is>
      </c>
    </row>
    <row r="152">
      <c r="A152" s="335">
        <f>Records!A152</f>
        <v/>
      </c>
      <c r="B152" s="335">
        <f>Records!D152</f>
        <v/>
      </c>
      <c r="C152" s="337">
        <f>IF(AND(COUNTA(Records!E152:Q152)=13,Records!R152="是"),"是","否")</f>
        <v/>
      </c>
      <c r="D152" s="337">
        <f>IF(AND(COUNTIFS(Participants!$A$3:$A$26,Records!A152,Participants!$V$3:$V$26,"是")=1,Records!R152="是",OR(Records!V152="",Records!V152="无"),Records!X152="是",Records!Y152="是"),"是","否")</f>
        <v/>
      </c>
      <c r="E152" s="336">
        <f>IF(ISNUMBER(Records!E152),Records!E152,"")</f>
        <v/>
      </c>
      <c r="F152" s="336">
        <f>IF(ISNUMBER(Records!F152),Records!F152,"")</f>
        <v/>
      </c>
      <c r="G152" s="336">
        <f>IF(ISNUMBER(Records!G152),6-Records!G152,"")</f>
        <v/>
      </c>
      <c r="H152" s="336">
        <f>IF(ISNUMBER(Records!H152),Records!H152,"")</f>
        <v/>
      </c>
      <c r="I152" s="336">
        <f>IF(ISNUMBER(Records!I152),6-Records!I152,"")</f>
        <v/>
      </c>
      <c r="J152" s="336">
        <f>IF(ISNUMBER(Records!J152),Records!J152,"")</f>
        <v/>
      </c>
      <c r="K152" s="336">
        <f>IF(ISNUMBER(Records!K152),Records!K152,"")</f>
        <v/>
      </c>
      <c r="L152" s="336">
        <f>IF(ISNUMBER(Records!L152),6-Records!L152,"")</f>
        <v/>
      </c>
      <c r="M152" s="336">
        <f>IF(ISNUMBER(Records!M152),Records!M152,"")</f>
        <v/>
      </c>
      <c r="N152" s="336">
        <f>IF(ISNUMBER(Records!N152),6-Records!N152,"")</f>
        <v/>
      </c>
      <c r="O152" s="336">
        <f>IF(ISNUMBER(Records!O152),Records!O152,"")</f>
        <v/>
      </c>
      <c r="P152" s="336">
        <f>IF(ISNUMBER(Records!P152),Records!P152,"")</f>
        <v/>
      </c>
      <c r="Q152" s="336">
        <f>IF(ISNUMBER(Records!Q152),Records!Q152,"")</f>
        <v/>
      </c>
      <c r="R152" s="336">
        <f>IF(COUNT(E152:J152)&gt;=5,AVERAGE(E152:J152),"")</f>
        <v/>
      </c>
      <c r="S152" s="336">
        <f>IF(COUNT(K152:N152)&gt;=3,AVERAGE(K152:N152),"")</f>
        <v/>
      </c>
      <c r="T152" s="336">
        <f>IF(COUNT(O152:Q152)&gt;=3,AVERAGE(O152:Q152),"")</f>
        <v/>
      </c>
      <c r="U152" s="336">
        <f>IF(Records!U152="","",Records!U152)</f>
        <v/>
      </c>
    </row>
    <row r="153">
      <c r="A153" s="335">
        <f>Records!A153</f>
        <v/>
      </c>
      <c r="B153" s="335">
        <f>Records!D153</f>
        <v/>
      </c>
      <c r="C153" s="337">
        <f>IF(AND(COUNTA(Records!E153:Q153)=13,Records!R153="是"),"是","否")</f>
        <v/>
      </c>
      <c r="D153" s="337">
        <f>IF(AND(COUNTIFS(Participants!$A$3:$A$26,Records!A153,Participants!$V$3:$V$26,"是")=1,Records!R153="是",OR(Records!V153="",Records!V153="无"),Records!X153="是",Records!Y153="是"),"是","否")</f>
        <v/>
      </c>
      <c r="E153" s="336">
        <f>IF(ISNUMBER(Records!E153),Records!E153,"")</f>
        <v/>
      </c>
      <c r="F153" s="336">
        <f>IF(ISNUMBER(Records!F153),Records!F153,"")</f>
        <v/>
      </c>
      <c r="G153" s="336">
        <f>IF(ISNUMBER(Records!G153),6-Records!G153,"")</f>
        <v/>
      </c>
      <c r="H153" s="336">
        <f>IF(ISNUMBER(Records!H153),Records!H153,"")</f>
        <v/>
      </c>
      <c r="I153" s="336">
        <f>IF(ISNUMBER(Records!I153),6-Records!I153,"")</f>
        <v/>
      </c>
      <c r="J153" s="336">
        <f>IF(ISNUMBER(Records!J153),Records!J153,"")</f>
        <v/>
      </c>
      <c r="K153" s="336">
        <f>IF(ISNUMBER(Records!K153),Records!K153,"")</f>
        <v/>
      </c>
      <c r="L153" s="336">
        <f>IF(ISNUMBER(Records!L153),6-Records!L153,"")</f>
        <v/>
      </c>
      <c r="M153" s="336">
        <f>IF(ISNUMBER(Records!M153),Records!M153,"")</f>
        <v/>
      </c>
      <c r="N153" s="336">
        <f>IF(ISNUMBER(Records!N153),6-Records!N153,"")</f>
        <v/>
      </c>
      <c r="O153" s="336">
        <f>IF(ISNUMBER(Records!O153),Records!O153,"")</f>
        <v/>
      </c>
      <c r="P153" s="336">
        <f>IF(ISNUMBER(Records!P153),Records!P153,"")</f>
        <v/>
      </c>
      <c r="Q153" s="336">
        <f>IF(ISNUMBER(Records!Q153),Records!Q153,"")</f>
        <v/>
      </c>
      <c r="R153" s="336">
        <f>IF(COUNT(E153:J153)&gt;=5,AVERAGE(E153:J153),"")</f>
        <v/>
      </c>
      <c r="S153" s="336">
        <f>IF(COUNT(K153:N153)&gt;=3,AVERAGE(K153:N153),"")</f>
        <v/>
      </c>
      <c r="T153" s="336">
        <f>IF(COUNT(O153:Q153)&gt;=3,AVERAGE(O153:Q153),"")</f>
        <v/>
      </c>
      <c r="U153" s="336">
        <f>IF(Records!U153="","",Records!U153)</f>
        <v/>
      </c>
    </row>
    <row r="154">
      <c r="A154" s="335">
        <f>Records!A154</f>
        <v/>
      </c>
      <c r="B154" s="335">
        <f>Records!D154</f>
        <v/>
      </c>
      <c r="C154" s="337">
        <f>IF(AND(COUNTA(Records!E154:Q154)=13,Records!R154="是"),"是","否")</f>
        <v/>
      </c>
      <c r="D154" s="337">
        <f>IF(AND(COUNTIFS(Participants!$A$3:$A$26,Records!A154,Participants!$V$3:$V$26,"是")=1,Records!R154="是",OR(Records!V154="",Records!V154="无"),Records!X154="是",Records!Y154="是"),"是","否")</f>
        <v/>
      </c>
      <c r="E154" s="336">
        <f>IF(ISNUMBER(Records!E154),Records!E154,"")</f>
        <v/>
      </c>
      <c r="F154" s="336">
        <f>IF(ISNUMBER(Records!F154),Records!F154,"")</f>
        <v/>
      </c>
      <c r="G154" s="336">
        <f>IF(ISNUMBER(Records!G154),6-Records!G154,"")</f>
        <v/>
      </c>
      <c r="H154" s="336">
        <f>IF(ISNUMBER(Records!H154),Records!H154,"")</f>
        <v/>
      </c>
      <c r="I154" s="336">
        <f>IF(ISNUMBER(Records!I154),6-Records!I154,"")</f>
        <v/>
      </c>
      <c r="J154" s="336">
        <f>IF(ISNUMBER(Records!J154),Records!J154,"")</f>
        <v/>
      </c>
      <c r="K154" s="336">
        <f>IF(ISNUMBER(Records!K154),Records!K154,"")</f>
        <v/>
      </c>
      <c r="L154" s="336">
        <f>IF(ISNUMBER(Records!L154),6-Records!L154,"")</f>
        <v/>
      </c>
      <c r="M154" s="336">
        <f>IF(ISNUMBER(Records!M154),Records!M154,"")</f>
        <v/>
      </c>
      <c r="N154" s="336">
        <f>IF(ISNUMBER(Records!N154),6-Records!N154,"")</f>
        <v/>
      </c>
      <c r="O154" s="336">
        <f>IF(ISNUMBER(Records!O154),Records!O154,"")</f>
        <v/>
      </c>
      <c r="P154" s="336">
        <f>IF(ISNUMBER(Records!P154),Records!P154,"")</f>
        <v/>
      </c>
      <c r="Q154" s="336">
        <f>IF(ISNUMBER(Records!Q154),Records!Q154,"")</f>
        <v/>
      </c>
      <c r="R154" s="336">
        <f>IF(COUNT(E154:J154)&gt;=5,AVERAGE(E154:J154),"")</f>
        <v/>
      </c>
      <c r="S154" s="336">
        <f>IF(COUNT(K154:N154)&gt;=3,AVERAGE(K154:N154),"")</f>
        <v/>
      </c>
      <c r="T154" s="336">
        <f>IF(COUNT(O154:Q154)&gt;=3,AVERAGE(O154:Q154),"")</f>
        <v/>
      </c>
      <c r="U154" s="336">
        <f>IF(Records!U154="","",Records!U154)</f>
        <v/>
      </c>
    </row>
    <row r="155">
      <c r="A155" s="335">
        <f>Records!A155</f>
        <v/>
      </c>
      <c r="B155" s="335">
        <f>Records!D155</f>
        <v/>
      </c>
      <c r="C155" s="337">
        <f>IF(AND(COUNTA(Records!E155:Q155)=13,Records!R155="是"),"是","否")</f>
        <v/>
      </c>
      <c r="D155" s="337">
        <f>IF(AND(COUNTIFS(Participants!$A$3:$A$26,Records!A155,Participants!$V$3:$V$26,"是")=1,Records!R155="是",OR(Records!V155="",Records!V155="无"),Records!X155="是",Records!Y155="是"),"是","否")</f>
        <v/>
      </c>
      <c r="E155" s="336">
        <f>IF(ISNUMBER(Records!E155),Records!E155,"")</f>
        <v/>
      </c>
      <c r="F155" s="336">
        <f>IF(ISNUMBER(Records!F155),Records!F155,"")</f>
        <v/>
      </c>
      <c r="G155" s="336">
        <f>IF(ISNUMBER(Records!G155),6-Records!G155,"")</f>
        <v/>
      </c>
      <c r="H155" s="336">
        <f>IF(ISNUMBER(Records!H155),Records!H155,"")</f>
        <v/>
      </c>
      <c r="I155" s="336">
        <f>IF(ISNUMBER(Records!I155),6-Records!I155,"")</f>
        <v/>
      </c>
      <c r="J155" s="336">
        <f>IF(ISNUMBER(Records!J155),Records!J155,"")</f>
        <v/>
      </c>
      <c r="K155" s="336">
        <f>IF(ISNUMBER(Records!K155),Records!K155,"")</f>
        <v/>
      </c>
      <c r="L155" s="336">
        <f>IF(ISNUMBER(Records!L155),6-Records!L155,"")</f>
        <v/>
      </c>
      <c r="M155" s="336">
        <f>IF(ISNUMBER(Records!M155),Records!M155,"")</f>
        <v/>
      </c>
      <c r="N155" s="336">
        <f>IF(ISNUMBER(Records!N155),6-Records!N155,"")</f>
        <v/>
      </c>
      <c r="O155" s="336">
        <f>IF(ISNUMBER(Records!O155),Records!O155,"")</f>
        <v/>
      </c>
      <c r="P155" s="336">
        <f>IF(ISNUMBER(Records!P155),Records!P155,"")</f>
        <v/>
      </c>
      <c r="Q155" s="336">
        <f>IF(ISNUMBER(Records!Q155),Records!Q155,"")</f>
        <v/>
      </c>
      <c r="R155" s="336">
        <f>IF(COUNT(E155:J155)&gt;=5,AVERAGE(E155:J155),"")</f>
        <v/>
      </c>
      <c r="S155" s="336">
        <f>IF(COUNT(K155:N155)&gt;=3,AVERAGE(K155:N155),"")</f>
        <v/>
      </c>
      <c r="T155" s="336">
        <f>IF(COUNT(O155:Q155)&gt;=3,AVERAGE(O155:Q155),"")</f>
        <v/>
      </c>
      <c r="U155" s="336">
        <f>IF(Records!U155="","",Records!U155)</f>
        <v/>
      </c>
    </row>
    <row r="156">
      <c r="A156" s="335">
        <f>Records!A156</f>
        <v/>
      </c>
      <c r="B156" s="335">
        <f>Records!D156</f>
        <v/>
      </c>
      <c r="C156" s="337">
        <f>IF(AND(COUNTA(Records!E156:Q156)=13,Records!R156="是"),"是","否")</f>
        <v/>
      </c>
      <c r="D156" s="337">
        <f>IF(AND(COUNTIFS(Participants!$A$3:$A$26,Records!A156,Participants!$V$3:$V$26,"是")=1,Records!R156="是",OR(Records!V156="",Records!V156="无"),Records!X156="是",Records!Y156="是"),"是","否")</f>
        <v/>
      </c>
      <c r="E156" s="336">
        <f>IF(ISNUMBER(Records!E156),Records!E156,"")</f>
        <v/>
      </c>
      <c r="F156" s="336">
        <f>IF(ISNUMBER(Records!F156),Records!F156,"")</f>
        <v/>
      </c>
      <c r="G156" s="336">
        <f>IF(ISNUMBER(Records!G156),6-Records!G156,"")</f>
        <v/>
      </c>
      <c r="H156" s="336">
        <f>IF(ISNUMBER(Records!H156),Records!H156,"")</f>
        <v/>
      </c>
      <c r="I156" s="336">
        <f>IF(ISNUMBER(Records!I156),6-Records!I156,"")</f>
        <v/>
      </c>
      <c r="J156" s="336">
        <f>IF(ISNUMBER(Records!J156),Records!J156,"")</f>
        <v/>
      </c>
      <c r="K156" s="336">
        <f>IF(ISNUMBER(Records!K156),Records!K156,"")</f>
        <v/>
      </c>
      <c r="L156" s="336">
        <f>IF(ISNUMBER(Records!L156),6-Records!L156,"")</f>
        <v/>
      </c>
      <c r="M156" s="336">
        <f>IF(ISNUMBER(Records!M156),Records!M156,"")</f>
        <v/>
      </c>
      <c r="N156" s="336">
        <f>IF(ISNUMBER(Records!N156),6-Records!N156,"")</f>
        <v/>
      </c>
      <c r="O156" s="336">
        <f>IF(ISNUMBER(Records!O156),Records!O156,"")</f>
        <v/>
      </c>
      <c r="P156" s="336">
        <f>IF(ISNUMBER(Records!P156),Records!P156,"")</f>
        <v/>
      </c>
      <c r="Q156" s="336">
        <f>IF(ISNUMBER(Records!Q156),Records!Q156,"")</f>
        <v/>
      </c>
      <c r="R156" s="336">
        <f>IF(COUNT(E156:J156)&gt;=5,AVERAGE(E156:J156),"")</f>
        <v/>
      </c>
      <c r="S156" s="336">
        <f>IF(COUNT(K156:N156)&gt;=3,AVERAGE(K156:N156),"")</f>
        <v/>
      </c>
      <c r="T156" s="336">
        <f>IF(COUNT(O156:Q156)&gt;=3,AVERAGE(O156:Q156),"")</f>
        <v/>
      </c>
      <c r="U156" s="336">
        <f>IF(Records!U156="","",Records!U156)</f>
        <v/>
      </c>
    </row>
    <row r="157">
      <c r="A157" s="335">
        <f>Records!A157</f>
        <v/>
      </c>
      <c r="B157" s="335">
        <f>Records!D157</f>
        <v/>
      </c>
      <c r="C157" s="337">
        <f>IF(AND(COUNTA(Records!E157:Q157)=13,Records!R157="是"),"是","否")</f>
        <v/>
      </c>
      <c r="D157" s="337">
        <f>IF(AND(COUNTIFS(Participants!$A$3:$A$26,Records!A157,Participants!$V$3:$V$26,"是")=1,Records!R157="是",OR(Records!V157="",Records!V157="无"),Records!X157="是",Records!Y157="是"),"是","否")</f>
        <v/>
      </c>
      <c r="E157" s="336">
        <f>IF(ISNUMBER(Records!E157),Records!E157,"")</f>
        <v/>
      </c>
      <c r="F157" s="336">
        <f>IF(ISNUMBER(Records!F157),Records!F157,"")</f>
        <v/>
      </c>
      <c r="G157" s="336">
        <f>IF(ISNUMBER(Records!G157),6-Records!G157,"")</f>
        <v/>
      </c>
      <c r="H157" s="336">
        <f>IF(ISNUMBER(Records!H157),Records!H157,"")</f>
        <v/>
      </c>
      <c r="I157" s="336">
        <f>IF(ISNUMBER(Records!I157),6-Records!I157,"")</f>
        <v/>
      </c>
      <c r="J157" s="336">
        <f>IF(ISNUMBER(Records!J157),Records!J157,"")</f>
        <v/>
      </c>
      <c r="K157" s="336">
        <f>IF(ISNUMBER(Records!K157),Records!K157,"")</f>
        <v/>
      </c>
      <c r="L157" s="336">
        <f>IF(ISNUMBER(Records!L157),6-Records!L157,"")</f>
        <v/>
      </c>
      <c r="M157" s="336">
        <f>IF(ISNUMBER(Records!M157),Records!M157,"")</f>
        <v/>
      </c>
      <c r="N157" s="336">
        <f>IF(ISNUMBER(Records!N157),6-Records!N157,"")</f>
        <v/>
      </c>
      <c r="O157" s="336">
        <f>IF(ISNUMBER(Records!O157),Records!O157,"")</f>
        <v/>
      </c>
      <c r="P157" s="336">
        <f>IF(ISNUMBER(Records!P157),Records!P157,"")</f>
        <v/>
      </c>
      <c r="Q157" s="336">
        <f>IF(ISNUMBER(Records!Q157),Records!Q157,"")</f>
        <v/>
      </c>
      <c r="R157" s="336">
        <f>IF(COUNT(E157:J157)&gt;=5,AVERAGE(E157:J157),"")</f>
        <v/>
      </c>
      <c r="S157" s="336">
        <f>IF(COUNT(K157:N157)&gt;=3,AVERAGE(K157:N157),"")</f>
        <v/>
      </c>
      <c r="T157" s="336">
        <f>IF(COUNT(O157:Q157)&gt;=3,AVERAGE(O157:Q157),"")</f>
        <v/>
      </c>
      <c r="U157" s="336">
        <f>IF(Records!U157="","",Records!U157)</f>
        <v/>
      </c>
    </row>
    <row r="158">
      <c r="A158" s="335">
        <f>Records!A158</f>
        <v/>
      </c>
      <c r="B158" s="335">
        <f>Records!D158</f>
        <v/>
      </c>
      <c r="C158" s="337">
        <f>IF(AND(COUNTA(Records!E158:Q158)=13,Records!R158="是"),"是","否")</f>
        <v/>
      </c>
      <c r="D158" s="337">
        <f>IF(AND(COUNTIFS(Participants!$A$3:$A$26,Records!A158,Participants!$V$3:$V$26,"是")=1,Records!R158="是",OR(Records!V158="",Records!V158="无"),Records!X158="是",Records!Y158="是"),"是","否")</f>
        <v/>
      </c>
      <c r="E158" s="336">
        <f>IF(ISNUMBER(Records!E158),Records!E158,"")</f>
        <v/>
      </c>
      <c r="F158" s="336">
        <f>IF(ISNUMBER(Records!F158),Records!F158,"")</f>
        <v/>
      </c>
      <c r="G158" s="336">
        <f>IF(ISNUMBER(Records!G158),6-Records!G158,"")</f>
        <v/>
      </c>
      <c r="H158" s="336">
        <f>IF(ISNUMBER(Records!H158),Records!H158,"")</f>
        <v/>
      </c>
      <c r="I158" s="336">
        <f>IF(ISNUMBER(Records!I158),6-Records!I158,"")</f>
        <v/>
      </c>
      <c r="J158" s="336">
        <f>IF(ISNUMBER(Records!J158),Records!J158,"")</f>
        <v/>
      </c>
      <c r="K158" s="336">
        <f>IF(ISNUMBER(Records!K158),Records!K158,"")</f>
        <v/>
      </c>
      <c r="L158" s="336">
        <f>IF(ISNUMBER(Records!L158),6-Records!L158,"")</f>
        <v/>
      </c>
      <c r="M158" s="336">
        <f>IF(ISNUMBER(Records!M158),Records!M158,"")</f>
        <v/>
      </c>
      <c r="N158" s="336">
        <f>IF(ISNUMBER(Records!N158),6-Records!N158,"")</f>
        <v/>
      </c>
      <c r="O158" s="336">
        <f>IF(ISNUMBER(Records!O158),Records!O158,"")</f>
        <v/>
      </c>
      <c r="P158" s="336">
        <f>IF(ISNUMBER(Records!P158),Records!P158,"")</f>
        <v/>
      </c>
      <c r="Q158" s="336">
        <f>IF(ISNUMBER(Records!Q158),Records!Q158,"")</f>
        <v/>
      </c>
      <c r="R158" s="336">
        <f>IF(COUNT(E158:J158)&gt;=5,AVERAGE(E158:J158),"")</f>
        <v/>
      </c>
      <c r="S158" s="336">
        <f>IF(COUNT(K158:N158)&gt;=3,AVERAGE(K158:N158),"")</f>
        <v/>
      </c>
      <c r="T158" s="336">
        <f>IF(COUNT(O158:Q158)&gt;=3,AVERAGE(O158:Q158),"")</f>
        <v/>
      </c>
      <c r="U158" s="336">
        <f>IF(Records!U158="","",Records!U158)</f>
        <v/>
      </c>
    </row>
    <row r="159">
      <c r="A159" s="335">
        <f>Records!A159</f>
        <v/>
      </c>
      <c r="B159" s="335">
        <f>Records!D159</f>
        <v/>
      </c>
      <c r="C159" s="337">
        <f>IF(AND(COUNTA(Records!E159:Q159)=13,Records!R159="是"),"是","否")</f>
        <v/>
      </c>
      <c r="D159" s="337">
        <f>IF(AND(COUNTIFS(Participants!$A$3:$A$26,Records!A159,Participants!$V$3:$V$26,"是")=1,Records!R159="是",OR(Records!V159="",Records!V159="无"),Records!X159="是",Records!Y159="是"),"是","否")</f>
        <v/>
      </c>
      <c r="E159" s="336">
        <f>IF(ISNUMBER(Records!E159),Records!E159,"")</f>
        <v/>
      </c>
      <c r="F159" s="336">
        <f>IF(ISNUMBER(Records!F159),Records!F159,"")</f>
        <v/>
      </c>
      <c r="G159" s="336">
        <f>IF(ISNUMBER(Records!G159),6-Records!G159,"")</f>
        <v/>
      </c>
      <c r="H159" s="336">
        <f>IF(ISNUMBER(Records!H159),Records!H159,"")</f>
        <v/>
      </c>
      <c r="I159" s="336">
        <f>IF(ISNUMBER(Records!I159),6-Records!I159,"")</f>
        <v/>
      </c>
      <c r="J159" s="336">
        <f>IF(ISNUMBER(Records!J159),Records!J159,"")</f>
        <v/>
      </c>
      <c r="K159" s="336">
        <f>IF(ISNUMBER(Records!K159),Records!K159,"")</f>
        <v/>
      </c>
      <c r="L159" s="336">
        <f>IF(ISNUMBER(Records!L159),6-Records!L159,"")</f>
        <v/>
      </c>
      <c r="M159" s="336">
        <f>IF(ISNUMBER(Records!M159),Records!M159,"")</f>
        <v/>
      </c>
      <c r="N159" s="336">
        <f>IF(ISNUMBER(Records!N159),6-Records!N159,"")</f>
        <v/>
      </c>
      <c r="O159" s="336">
        <f>IF(ISNUMBER(Records!O159),Records!O159,"")</f>
        <v/>
      </c>
      <c r="P159" s="336">
        <f>IF(ISNUMBER(Records!P159),Records!P159,"")</f>
        <v/>
      </c>
      <c r="Q159" s="336">
        <f>IF(ISNUMBER(Records!Q159),Records!Q159,"")</f>
        <v/>
      </c>
      <c r="R159" s="336">
        <f>IF(COUNT(E159:J159)&gt;=5,AVERAGE(E159:J159),"")</f>
        <v/>
      </c>
      <c r="S159" s="336">
        <f>IF(COUNT(K159:N159)&gt;=3,AVERAGE(K159:N159),"")</f>
        <v/>
      </c>
      <c r="T159" s="336">
        <f>IF(COUNT(O159:Q159)&gt;=3,AVERAGE(O159:Q159),"")</f>
        <v/>
      </c>
      <c r="U159" s="336">
        <f>IF(Records!U159="","",Records!U159)</f>
        <v/>
      </c>
    </row>
    <row r="160">
      <c r="A160" s="335">
        <f>Records!A160</f>
        <v/>
      </c>
      <c r="B160" s="335">
        <f>Records!D160</f>
        <v/>
      </c>
      <c r="C160" s="337">
        <f>IF(AND(COUNTA(Records!E160:Q160)=13,Records!R160="是"),"是","否")</f>
        <v/>
      </c>
      <c r="D160" s="337">
        <f>IF(AND(COUNTIFS(Participants!$A$3:$A$26,Records!A160,Participants!$V$3:$V$26,"是")=1,Records!R160="是",OR(Records!V160="",Records!V160="无"),Records!X160="是",Records!Y160="是"),"是","否")</f>
        <v/>
      </c>
      <c r="E160" s="336">
        <f>IF(ISNUMBER(Records!E160),Records!E160,"")</f>
        <v/>
      </c>
      <c r="F160" s="336">
        <f>IF(ISNUMBER(Records!F160),Records!F160,"")</f>
        <v/>
      </c>
      <c r="G160" s="336">
        <f>IF(ISNUMBER(Records!G160),6-Records!G160,"")</f>
        <v/>
      </c>
      <c r="H160" s="336">
        <f>IF(ISNUMBER(Records!H160),Records!H160,"")</f>
        <v/>
      </c>
      <c r="I160" s="336">
        <f>IF(ISNUMBER(Records!I160),6-Records!I160,"")</f>
        <v/>
      </c>
      <c r="J160" s="336">
        <f>IF(ISNUMBER(Records!J160),Records!J160,"")</f>
        <v/>
      </c>
      <c r="K160" s="336">
        <f>IF(ISNUMBER(Records!K160),Records!K160,"")</f>
        <v/>
      </c>
      <c r="L160" s="336">
        <f>IF(ISNUMBER(Records!L160),6-Records!L160,"")</f>
        <v/>
      </c>
      <c r="M160" s="336">
        <f>IF(ISNUMBER(Records!M160),Records!M160,"")</f>
        <v/>
      </c>
      <c r="N160" s="336">
        <f>IF(ISNUMBER(Records!N160),6-Records!N160,"")</f>
        <v/>
      </c>
      <c r="O160" s="336">
        <f>IF(ISNUMBER(Records!O160),Records!O160,"")</f>
        <v/>
      </c>
      <c r="P160" s="336">
        <f>IF(ISNUMBER(Records!P160),Records!P160,"")</f>
        <v/>
      </c>
      <c r="Q160" s="336">
        <f>IF(ISNUMBER(Records!Q160),Records!Q160,"")</f>
        <v/>
      </c>
      <c r="R160" s="336">
        <f>IF(COUNT(E160:J160)&gt;=5,AVERAGE(E160:J160),"")</f>
        <v/>
      </c>
      <c r="S160" s="336">
        <f>IF(COUNT(K160:N160)&gt;=3,AVERAGE(K160:N160),"")</f>
        <v/>
      </c>
      <c r="T160" s="336">
        <f>IF(COUNT(O160:Q160)&gt;=3,AVERAGE(O160:Q160),"")</f>
        <v/>
      </c>
      <c r="U160" s="336">
        <f>IF(Records!U160="","",Records!U160)</f>
        <v/>
      </c>
    </row>
    <row r="161">
      <c r="A161" s="335">
        <f>Records!A161</f>
        <v/>
      </c>
      <c r="B161" s="335">
        <f>Records!D161</f>
        <v/>
      </c>
      <c r="C161" s="337">
        <f>IF(AND(COUNTA(Records!E161:Q161)=13,Records!R161="是"),"是","否")</f>
        <v/>
      </c>
      <c r="D161" s="337">
        <f>IF(AND(COUNTIFS(Participants!$A$3:$A$26,Records!A161,Participants!$V$3:$V$26,"是")=1,Records!R161="是",OR(Records!V161="",Records!V161="无"),Records!X161="是",Records!Y161="是"),"是","否")</f>
        <v/>
      </c>
      <c r="E161" s="336">
        <f>IF(ISNUMBER(Records!E161),Records!E161,"")</f>
        <v/>
      </c>
      <c r="F161" s="336">
        <f>IF(ISNUMBER(Records!F161),Records!F161,"")</f>
        <v/>
      </c>
      <c r="G161" s="336">
        <f>IF(ISNUMBER(Records!G161),6-Records!G161,"")</f>
        <v/>
      </c>
      <c r="H161" s="336">
        <f>IF(ISNUMBER(Records!H161),Records!H161,"")</f>
        <v/>
      </c>
      <c r="I161" s="336">
        <f>IF(ISNUMBER(Records!I161),6-Records!I161,"")</f>
        <v/>
      </c>
      <c r="J161" s="336">
        <f>IF(ISNUMBER(Records!J161),Records!J161,"")</f>
        <v/>
      </c>
      <c r="K161" s="336">
        <f>IF(ISNUMBER(Records!K161),Records!K161,"")</f>
        <v/>
      </c>
      <c r="L161" s="336">
        <f>IF(ISNUMBER(Records!L161),6-Records!L161,"")</f>
        <v/>
      </c>
      <c r="M161" s="336">
        <f>IF(ISNUMBER(Records!M161),Records!M161,"")</f>
        <v/>
      </c>
      <c r="N161" s="336">
        <f>IF(ISNUMBER(Records!N161),6-Records!N161,"")</f>
        <v/>
      </c>
      <c r="O161" s="336">
        <f>IF(ISNUMBER(Records!O161),Records!O161,"")</f>
        <v/>
      </c>
      <c r="P161" s="336">
        <f>IF(ISNUMBER(Records!P161),Records!P161,"")</f>
        <v/>
      </c>
      <c r="Q161" s="336">
        <f>IF(ISNUMBER(Records!Q161),Records!Q161,"")</f>
        <v/>
      </c>
      <c r="R161" s="336">
        <f>IF(COUNT(E161:J161)&gt;=5,AVERAGE(E161:J161),"")</f>
        <v/>
      </c>
      <c r="S161" s="336">
        <f>IF(COUNT(K161:N161)&gt;=3,AVERAGE(K161:N161),"")</f>
        <v/>
      </c>
      <c r="T161" s="336">
        <f>IF(COUNT(O161:Q161)&gt;=3,AVERAGE(O161:Q161),"")</f>
        <v/>
      </c>
      <c r="U161" s="336">
        <f>IF(Records!U161="","",Records!U161)</f>
        <v/>
      </c>
    </row>
    <row r="162">
      <c r="A162" s="335">
        <f>Records!A162</f>
        <v/>
      </c>
      <c r="B162" s="335">
        <f>Records!D162</f>
        <v/>
      </c>
      <c r="C162" s="337">
        <f>IF(AND(COUNTA(Records!E162:Q162)=13,Records!R162="是"),"是","否")</f>
        <v/>
      </c>
      <c r="D162" s="337">
        <f>IF(AND(COUNTIFS(Participants!$A$3:$A$26,Records!A162,Participants!$V$3:$V$26,"是")=1,Records!R162="是",OR(Records!V162="",Records!V162="无"),Records!X162="是",Records!Y162="是"),"是","否")</f>
        <v/>
      </c>
      <c r="E162" s="336">
        <f>IF(ISNUMBER(Records!E162),Records!E162,"")</f>
        <v/>
      </c>
      <c r="F162" s="336">
        <f>IF(ISNUMBER(Records!F162),Records!F162,"")</f>
        <v/>
      </c>
      <c r="G162" s="336">
        <f>IF(ISNUMBER(Records!G162),6-Records!G162,"")</f>
        <v/>
      </c>
      <c r="H162" s="336">
        <f>IF(ISNUMBER(Records!H162),Records!H162,"")</f>
        <v/>
      </c>
      <c r="I162" s="336">
        <f>IF(ISNUMBER(Records!I162),6-Records!I162,"")</f>
        <v/>
      </c>
      <c r="J162" s="336">
        <f>IF(ISNUMBER(Records!J162),Records!J162,"")</f>
        <v/>
      </c>
      <c r="K162" s="336">
        <f>IF(ISNUMBER(Records!K162),Records!K162,"")</f>
        <v/>
      </c>
      <c r="L162" s="336">
        <f>IF(ISNUMBER(Records!L162),6-Records!L162,"")</f>
        <v/>
      </c>
      <c r="M162" s="336">
        <f>IF(ISNUMBER(Records!M162),Records!M162,"")</f>
        <v/>
      </c>
      <c r="N162" s="336">
        <f>IF(ISNUMBER(Records!N162),6-Records!N162,"")</f>
        <v/>
      </c>
      <c r="O162" s="336">
        <f>IF(ISNUMBER(Records!O162),Records!O162,"")</f>
        <v/>
      </c>
      <c r="P162" s="336">
        <f>IF(ISNUMBER(Records!P162),Records!P162,"")</f>
        <v/>
      </c>
      <c r="Q162" s="336">
        <f>IF(ISNUMBER(Records!Q162),Records!Q162,"")</f>
        <v/>
      </c>
      <c r="R162" s="336">
        <f>IF(COUNT(E162:J162)&gt;=5,AVERAGE(E162:J162),"")</f>
        <v/>
      </c>
      <c r="S162" s="336">
        <f>IF(COUNT(K162:N162)&gt;=3,AVERAGE(K162:N162),"")</f>
        <v/>
      </c>
      <c r="T162" s="336">
        <f>IF(COUNT(O162:Q162)&gt;=3,AVERAGE(O162:Q162),"")</f>
        <v/>
      </c>
      <c r="U162" s="336">
        <f>IF(Records!U162="","",Records!U162)</f>
        <v/>
      </c>
    </row>
    <row r="163">
      <c r="A163" s="335">
        <f>Records!A163</f>
        <v/>
      </c>
      <c r="B163" s="335">
        <f>Records!D163</f>
        <v/>
      </c>
      <c r="C163" s="337">
        <f>IF(AND(COUNTA(Records!E163:Q163)=13,Records!R163="是"),"是","否")</f>
        <v/>
      </c>
      <c r="D163" s="337">
        <f>IF(AND(COUNTIFS(Participants!$A$3:$A$26,Records!A163,Participants!$V$3:$V$26,"是")=1,Records!R163="是",OR(Records!V163="",Records!V163="无"),Records!X163="是",Records!Y163="是"),"是","否")</f>
        <v/>
      </c>
      <c r="E163" s="336">
        <f>IF(ISNUMBER(Records!E163),Records!E163,"")</f>
        <v/>
      </c>
      <c r="F163" s="336">
        <f>IF(ISNUMBER(Records!F163),Records!F163,"")</f>
        <v/>
      </c>
      <c r="G163" s="336">
        <f>IF(ISNUMBER(Records!G163),6-Records!G163,"")</f>
        <v/>
      </c>
      <c r="H163" s="336">
        <f>IF(ISNUMBER(Records!H163),Records!H163,"")</f>
        <v/>
      </c>
      <c r="I163" s="336">
        <f>IF(ISNUMBER(Records!I163),6-Records!I163,"")</f>
        <v/>
      </c>
      <c r="J163" s="336">
        <f>IF(ISNUMBER(Records!J163),Records!J163,"")</f>
        <v/>
      </c>
      <c r="K163" s="336">
        <f>IF(ISNUMBER(Records!K163),Records!K163,"")</f>
        <v/>
      </c>
      <c r="L163" s="336">
        <f>IF(ISNUMBER(Records!L163),6-Records!L163,"")</f>
        <v/>
      </c>
      <c r="M163" s="336">
        <f>IF(ISNUMBER(Records!M163),Records!M163,"")</f>
        <v/>
      </c>
      <c r="N163" s="336">
        <f>IF(ISNUMBER(Records!N163),6-Records!N163,"")</f>
        <v/>
      </c>
      <c r="O163" s="336">
        <f>IF(ISNUMBER(Records!O163),Records!O163,"")</f>
        <v/>
      </c>
      <c r="P163" s="336">
        <f>IF(ISNUMBER(Records!P163),Records!P163,"")</f>
        <v/>
      </c>
      <c r="Q163" s="336">
        <f>IF(ISNUMBER(Records!Q163),Records!Q163,"")</f>
        <v/>
      </c>
      <c r="R163" s="336">
        <f>IF(COUNT(E163:J163)&gt;=5,AVERAGE(E163:J163),"")</f>
        <v/>
      </c>
      <c r="S163" s="336">
        <f>IF(COUNT(K163:N163)&gt;=3,AVERAGE(K163:N163),"")</f>
        <v/>
      </c>
      <c r="T163" s="336">
        <f>IF(COUNT(O163:Q163)&gt;=3,AVERAGE(O163:Q163),"")</f>
        <v/>
      </c>
      <c r="U163" s="336">
        <f>IF(Records!U163="","",Records!U163)</f>
        <v/>
      </c>
    </row>
    <row r="164">
      <c r="A164" s="335">
        <f>Records!A164</f>
        <v/>
      </c>
      <c r="B164" s="335">
        <f>Records!D164</f>
        <v/>
      </c>
      <c r="C164" s="337">
        <f>IF(AND(COUNTA(Records!E164:Q164)=13,Records!R164="是"),"是","否")</f>
        <v/>
      </c>
      <c r="D164" s="337">
        <f>IF(AND(COUNTIFS(Participants!$A$3:$A$26,Records!A164,Participants!$V$3:$V$26,"是")=1,Records!R164="是",OR(Records!V164="",Records!V164="无"),Records!X164="是",Records!Y164="是"),"是","否")</f>
        <v/>
      </c>
      <c r="E164" s="336">
        <f>IF(ISNUMBER(Records!E164),Records!E164,"")</f>
        <v/>
      </c>
      <c r="F164" s="336">
        <f>IF(ISNUMBER(Records!F164),Records!F164,"")</f>
        <v/>
      </c>
      <c r="G164" s="336">
        <f>IF(ISNUMBER(Records!G164),6-Records!G164,"")</f>
        <v/>
      </c>
      <c r="H164" s="336">
        <f>IF(ISNUMBER(Records!H164),Records!H164,"")</f>
        <v/>
      </c>
      <c r="I164" s="336">
        <f>IF(ISNUMBER(Records!I164),6-Records!I164,"")</f>
        <v/>
      </c>
      <c r="J164" s="336">
        <f>IF(ISNUMBER(Records!J164),Records!J164,"")</f>
        <v/>
      </c>
      <c r="K164" s="336">
        <f>IF(ISNUMBER(Records!K164),Records!K164,"")</f>
        <v/>
      </c>
      <c r="L164" s="336">
        <f>IF(ISNUMBER(Records!L164),6-Records!L164,"")</f>
        <v/>
      </c>
      <c r="M164" s="336">
        <f>IF(ISNUMBER(Records!M164),Records!M164,"")</f>
        <v/>
      </c>
      <c r="N164" s="336">
        <f>IF(ISNUMBER(Records!N164),6-Records!N164,"")</f>
        <v/>
      </c>
      <c r="O164" s="336">
        <f>IF(ISNUMBER(Records!O164),Records!O164,"")</f>
        <v/>
      </c>
      <c r="P164" s="336">
        <f>IF(ISNUMBER(Records!P164),Records!P164,"")</f>
        <v/>
      </c>
      <c r="Q164" s="336">
        <f>IF(ISNUMBER(Records!Q164),Records!Q164,"")</f>
        <v/>
      </c>
      <c r="R164" s="336">
        <f>IF(COUNT(E164:J164)&gt;=5,AVERAGE(E164:J164),"")</f>
        <v/>
      </c>
      <c r="S164" s="336">
        <f>IF(COUNT(K164:N164)&gt;=3,AVERAGE(K164:N164),"")</f>
        <v/>
      </c>
      <c r="T164" s="336">
        <f>IF(COUNT(O164:Q164)&gt;=3,AVERAGE(O164:Q164),"")</f>
        <v/>
      </c>
      <c r="U164" s="336">
        <f>IF(Records!U164="","",Records!U164)</f>
        <v/>
      </c>
    </row>
    <row r="165">
      <c r="A165" s="335">
        <f>Records!A165</f>
        <v/>
      </c>
      <c r="B165" s="335">
        <f>Records!D165</f>
        <v/>
      </c>
      <c r="C165" s="337">
        <f>IF(AND(COUNTA(Records!E165:Q165)=13,Records!R165="是"),"是","否")</f>
        <v/>
      </c>
      <c r="D165" s="337">
        <f>IF(AND(COUNTIFS(Participants!$A$3:$A$26,Records!A165,Participants!$V$3:$V$26,"是")=1,Records!R165="是",OR(Records!V165="",Records!V165="无"),Records!X165="是",Records!Y165="是"),"是","否")</f>
        <v/>
      </c>
      <c r="E165" s="336">
        <f>IF(ISNUMBER(Records!E165),Records!E165,"")</f>
        <v/>
      </c>
      <c r="F165" s="336">
        <f>IF(ISNUMBER(Records!F165),Records!F165,"")</f>
        <v/>
      </c>
      <c r="G165" s="336">
        <f>IF(ISNUMBER(Records!G165),6-Records!G165,"")</f>
        <v/>
      </c>
      <c r="H165" s="336">
        <f>IF(ISNUMBER(Records!H165),Records!H165,"")</f>
        <v/>
      </c>
      <c r="I165" s="336">
        <f>IF(ISNUMBER(Records!I165),6-Records!I165,"")</f>
        <v/>
      </c>
      <c r="J165" s="336">
        <f>IF(ISNUMBER(Records!J165),Records!J165,"")</f>
        <v/>
      </c>
      <c r="K165" s="336">
        <f>IF(ISNUMBER(Records!K165),Records!K165,"")</f>
        <v/>
      </c>
      <c r="L165" s="336">
        <f>IF(ISNUMBER(Records!L165),6-Records!L165,"")</f>
        <v/>
      </c>
      <c r="M165" s="336">
        <f>IF(ISNUMBER(Records!M165),Records!M165,"")</f>
        <v/>
      </c>
      <c r="N165" s="336">
        <f>IF(ISNUMBER(Records!N165),6-Records!N165,"")</f>
        <v/>
      </c>
      <c r="O165" s="336">
        <f>IF(ISNUMBER(Records!O165),Records!O165,"")</f>
        <v/>
      </c>
      <c r="P165" s="336">
        <f>IF(ISNUMBER(Records!P165),Records!P165,"")</f>
        <v/>
      </c>
      <c r="Q165" s="336">
        <f>IF(ISNUMBER(Records!Q165),Records!Q165,"")</f>
        <v/>
      </c>
      <c r="R165" s="336">
        <f>IF(COUNT(E165:J165)&gt;=5,AVERAGE(E165:J165),"")</f>
        <v/>
      </c>
      <c r="S165" s="336">
        <f>IF(COUNT(K165:N165)&gt;=3,AVERAGE(K165:N165),"")</f>
        <v/>
      </c>
      <c r="T165" s="336">
        <f>IF(COUNT(O165:Q165)&gt;=3,AVERAGE(O165:Q165),"")</f>
        <v/>
      </c>
      <c r="U165" s="336">
        <f>IF(Records!U165="","",Records!U165)</f>
        <v/>
      </c>
    </row>
    <row r="166">
      <c r="A166" s="335">
        <f>Records!A166</f>
        <v/>
      </c>
      <c r="B166" s="335">
        <f>Records!D166</f>
        <v/>
      </c>
      <c r="C166" s="337">
        <f>IF(AND(COUNTA(Records!E166:Q166)=13,Records!R166="是"),"是","否")</f>
        <v/>
      </c>
      <c r="D166" s="337">
        <f>IF(AND(COUNTIFS(Participants!$A$3:$A$26,Records!A166,Participants!$V$3:$V$26,"是")=1,Records!R166="是",OR(Records!V166="",Records!V166="无"),Records!X166="是",Records!Y166="是"),"是","否")</f>
        <v/>
      </c>
      <c r="E166" s="336">
        <f>IF(ISNUMBER(Records!E166),Records!E166,"")</f>
        <v/>
      </c>
      <c r="F166" s="336">
        <f>IF(ISNUMBER(Records!F166),Records!F166,"")</f>
        <v/>
      </c>
      <c r="G166" s="336">
        <f>IF(ISNUMBER(Records!G166),6-Records!G166,"")</f>
        <v/>
      </c>
      <c r="H166" s="336">
        <f>IF(ISNUMBER(Records!H166),Records!H166,"")</f>
        <v/>
      </c>
      <c r="I166" s="336">
        <f>IF(ISNUMBER(Records!I166),6-Records!I166,"")</f>
        <v/>
      </c>
      <c r="J166" s="336">
        <f>IF(ISNUMBER(Records!J166),Records!J166,"")</f>
        <v/>
      </c>
      <c r="K166" s="336">
        <f>IF(ISNUMBER(Records!K166),Records!K166,"")</f>
        <v/>
      </c>
      <c r="L166" s="336">
        <f>IF(ISNUMBER(Records!L166),6-Records!L166,"")</f>
        <v/>
      </c>
      <c r="M166" s="336">
        <f>IF(ISNUMBER(Records!M166),Records!M166,"")</f>
        <v/>
      </c>
      <c r="N166" s="336">
        <f>IF(ISNUMBER(Records!N166),6-Records!N166,"")</f>
        <v/>
      </c>
      <c r="O166" s="336">
        <f>IF(ISNUMBER(Records!O166),Records!O166,"")</f>
        <v/>
      </c>
      <c r="P166" s="336">
        <f>IF(ISNUMBER(Records!P166),Records!P166,"")</f>
        <v/>
      </c>
      <c r="Q166" s="336">
        <f>IF(ISNUMBER(Records!Q166),Records!Q166,"")</f>
        <v/>
      </c>
      <c r="R166" s="336">
        <f>IF(COUNT(E166:J166)&gt;=5,AVERAGE(E166:J166),"")</f>
        <v/>
      </c>
      <c r="S166" s="336">
        <f>IF(COUNT(K166:N166)&gt;=3,AVERAGE(K166:N166),"")</f>
        <v/>
      </c>
      <c r="T166" s="336">
        <f>IF(COUNT(O166:Q166)&gt;=3,AVERAGE(O166:Q166),"")</f>
        <v/>
      </c>
      <c r="U166" s="336">
        <f>IF(Records!U166="","",Records!U166)</f>
        <v/>
      </c>
    </row>
    <row r="167">
      <c r="A167" s="335">
        <f>Records!A167</f>
        <v/>
      </c>
      <c r="B167" s="335">
        <f>Records!D167</f>
        <v/>
      </c>
      <c r="C167" s="337">
        <f>IF(AND(COUNTA(Records!E167:Q167)=13,Records!R167="是"),"是","否")</f>
        <v/>
      </c>
      <c r="D167" s="337">
        <f>IF(AND(COUNTIFS(Participants!$A$3:$A$26,Records!A167,Participants!$V$3:$V$26,"是")=1,Records!R167="是",OR(Records!V167="",Records!V167="无"),Records!X167="是",Records!Y167="是"),"是","否")</f>
        <v/>
      </c>
      <c r="E167" s="336">
        <f>IF(ISNUMBER(Records!E167),Records!E167,"")</f>
        <v/>
      </c>
      <c r="F167" s="336">
        <f>IF(ISNUMBER(Records!F167),Records!F167,"")</f>
        <v/>
      </c>
      <c r="G167" s="336">
        <f>IF(ISNUMBER(Records!G167),6-Records!G167,"")</f>
        <v/>
      </c>
      <c r="H167" s="336">
        <f>IF(ISNUMBER(Records!H167),Records!H167,"")</f>
        <v/>
      </c>
      <c r="I167" s="336">
        <f>IF(ISNUMBER(Records!I167),6-Records!I167,"")</f>
        <v/>
      </c>
      <c r="J167" s="336">
        <f>IF(ISNUMBER(Records!J167),Records!J167,"")</f>
        <v/>
      </c>
      <c r="K167" s="336">
        <f>IF(ISNUMBER(Records!K167),Records!K167,"")</f>
        <v/>
      </c>
      <c r="L167" s="336">
        <f>IF(ISNUMBER(Records!L167),6-Records!L167,"")</f>
        <v/>
      </c>
      <c r="M167" s="336">
        <f>IF(ISNUMBER(Records!M167),Records!M167,"")</f>
        <v/>
      </c>
      <c r="N167" s="336">
        <f>IF(ISNUMBER(Records!N167),6-Records!N167,"")</f>
        <v/>
      </c>
      <c r="O167" s="336">
        <f>IF(ISNUMBER(Records!O167),Records!O167,"")</f>
        <v/>
      </c>
      <c r="P167" s="336">
        <f>IF(ISNUMBER(Records!P167),Records!P167,"")</f>
        <v/>
      </c>
      <c r="Q167" s="336">
        <f>IF(ISNUMBER(Records!Q167),Records!Q167,"")</f>
        <v/>
      </c>
      <c r="R167" s="336">
        <f>IF(COUNT(E167:J167)&gt;=5,AVERAGE(E167:J167),"")</f>
        <v/>
      </c>
      <c r="S167" s="336">
        <f>IF(COUNT(K167:N167)&gt;=3,AVERAGE(K167:N167),"")</f>
        <v/>
      </c>
      <c r="T167" s="336">
        <f>IF(COUNT(O167:Q167)&gt;=3,AVERAGE(O167:Q167),"")</f>
        <v/>
      </c>
      <c r="U167" s="336">
        <f>IF(Records!U167="","",Records!U167)</f>
        <v/>
      </c>
    </row>
    <row r="168">
      <c r="A168" s="335">
        <f>Records!A168</f>
        <v/>
      </c>
      <c r="B168" s="335">
        <f>Records!D168</f>
        <v/>
      </c>
      <c r="C168" s="337">
        <f>IF(AND(COUNTA(Records!E168:Q168)=13,Records!R168="是"),"是","否")</f>
        <v/>
      </c>
      <c r="D168" s="337">
        <f>IF(AND(COUNTIFS(Participants!$A$3:$A$26,Records!A168,Participants!$V$3:$V$26,"是")=1,Records!R168="是",OR(Records!V168="",Records!V168="无"),Records!X168="是",Records!Y168="是"),"是","否")</f>
        <v/>
      </c>
      <c r="E168" s="336">
        <f>IF(ISNUMBER(Records!E168),Records!E168,"")</f>
        <v/>
      </c>
      <c r="F168" s="336">
        <f>IF(ISNUMBER(Records!F168),Records!F168,"")</f>
        <v/>
      </c>
      <c r="G168" s="336">
        <f>IF(ISNUMBER(Records!G168),6-Records!G168,"")</f>
        <v/>
      </c>
      <c r="H168" s="336">
        <f>IF(ISNUMBER(Records!H168),Records!H168,"")</f>
        <v/>
      </c>
      <c r="I168" s="336">
        <f>IF(ISNUMBER(Records!I168),6-Records!I168,"")</f>
        <v/>
      </c>
      <c r="J168" s="336">
        <f>IF(ISNUMBER(Records!J168),Records!J168,"")</f>
        <v/>
      </c>
      <c r="K168" s="336">
        <f>IF(ISNUMBER(Records!K168),Records!K168,"")</f>
        <v/>
      </c>
      <c r="L168" s="336">
        <f>IF(ISNUMBER(Records!L168),6-Records!L168,"")</f>
        <v/>
      </c>
      <c r="M168" s="336">
        <f>IF(ISNUMBER(Records!M168),Records!M168,"")</f>
        <v/>
      </c>
      <c r="N168" s="336">
        <f>IF(ISNUMBER(Records!N168),6-Records!N168,"")</f>
        <v/>
      </c>
      <c r="O168" s="336">
        <f>IF(ISNUMBER(Records!O168),Records!O168,"")</f>
        <v/>
      </c>
      <c r="P168" s="336">
        <f>IF(ISNUMBER(Records!P168),Records!P168,"")</f>
        <v/>
      </c>
      <c r="Q168" s="336">
        <f>IF(ISNUMBER(Records!Q168),Records!Q168,"")</f>
        <v/>
      </c>
      <c r="R168" s="336">
        <f>IF(COUNT(E168:J168)&gt;=5,AVERAGE(E168:J168),"")</f>
        <v/>
      </c>
      <c r="S168" s="336">
        <f>IF(COUNT(K168:N168)&gt;=3,AVERAGE(K168:N168),"")</f>
        <v/>
      </c>
      <c r="T168" s="336">
        <f>IF(COUNT(O168:Q168)&gt;=3,AVERAGE(O168:Q168),"")</f>
        <v/>
      </c>
      <c r="U168" s="336">
        <f>IF(Records!U168="","",Records!U168)</f>
        <v/>
      </c>
    </row>
    <row r="169">
      <c r="A169" s="335">
        <f>Records!A169</f>
        <v/>
      </c>
      <c r="B169" s="335">
        <f>Records!D169</f>
        <v/>
      </c>
      <c r="C169" s="337">
        <f>IF(AND(COUNTA(Records!E169:Q169)=13,Records!R169="是"),"是","否")</f>
        <v/>
      </c>
      <c r="D169" s="337">
        <f>IF(AND(COUNTIFS(Participants!$A$3:$A$26,Records!A169,Participants!$V$3:$V$26,"是")=1,Records!R169="是",OR(Records!V169="",Records!V169="无"),Records!X169="是",Records!Y169="是"),"是","否")</f>
        <v/>
      </c>
      <c r="E169" s="336">
        <f>IF(ISNUMBER(Records!E169),Records!E169,"")</f>
        <v/>
      </c>
      <c r="F169" s="336">
        <f>IF(ISNUMBER(Records!F169),Records!F169,"")</f>
        <v/>
      </c>
      <c r="G169" s="336">
        <f>IF(ISNUMBER(Records!G169),6-Records!G169,"")</f>
        <v/>
      </c>
      <c r="H169" s="336">
        <f>IF(ISNUMBER(Records!H169),Records!H169,"")</f>
        <v/>
      </c>
      <c r="I169" s="336">
        <f>IF(ISNUMBER(Records!I169),6-Records!I169,"")</f>
        <v/>
      </c>
      <c r="J169" s="336">
        <f>IF(ISNUMBER(Records!J169),Records!J169,"")</f>
        <v/>
      </c>
      <c r="K169" s="336">
        <f>IF(ISNUMBER(Records!K169),Records!K169,"")</f>
        <v/>
      </c>
      <c r="L169" s="336">
        <f>IF(ISNUMBER(Records!L169),6-Records!L169,"")</f>
        <v/>
      </c>
      <c r="M169" s="336">
        <f>IF(ISNUMBER(Records!M169),Records!M169,"")</f>
        <v/>
      </c>
      <c r="N169" s="336">
        <f>IF(ISNUMBER(Records!N169),6-Records!N169,"")</f>
        <v/>
      </c>
      <c r="O169" s="336">
        <f>IF(ISNUMBER(Records!O169),Records!O169,"")</f>
        <v/>
      </c>
      <c r="P169" s="336">
        <f>IF(ISNUMBER(Records!P169),Records!P169,"")</f>
        <v/>
      </c>
      <c r="Q169" s="336">
        <f>IF(ISNUMBER(Records!Q169),Records!Q169,"")</f>
        <v/>
      </c>
      <c r="R169" s="336">
        <f>IF(COUNT(E169:J169)&gt;=5,AVERAGE(E169:J169),"")</f>
        <v/>
      </c>
      <c r="S169" s="336">
        <f>IF(COUNT(K169:N169)&gt;=3,AVERAGE(K169:N169),"")</f>
        <v/>
      </c>
      <c r="T169" s="336">
        <f>IF(COUNT(O169:Q169)&gt;=3,AVERAGE(O169:Q169),"")</f>
        <v/>
      </c>
      <c r="U169" s="336">
        <f>IF(Records!U169="","",Records!U169)</f>
        <v/>
      </c>
    </row>
    <row r="170">
      <c r="A170" s="335">
        <f>Records!A170</f>
        <v/>
      </c>
      <c r="B170" s="335">
        <f>Records!D170</f>
        <v/>
      </c>
      <c r="C170" s="337">
        <f>IF(AND(COUNTA(Records!E170:Q170)=13,Records!R170="是"),"是","否")</f>
        <v/>
      </c>
      <c r="D170" s="337">
        <f>IF(AND(COUNTIFS(Participants!$A$3:$A$26,Records!A170,Participants!$V$3:$V$26,"是")=1,Records!R170="是",OR(Records!V170="",Records!V170="无"),Records!X170="是",Records!Y170="是"),"是","否")</f>
        <v/>
      </c>
      <c r="E170" s="336">
        <f>IF(ISNUMBER(Records!E170),Records!E170,"")</f>
        <v/>
      </c>
      <c r="F170" s="336">
        <f>IF(ISNUMBER(Records!F170),Records!F170,"")</f>
        <v/>
      </c>
      <c r="G170" s="336">
        <f>IF(ISNUMBER(Records!G170),6-Records!G170,"")</f>
        <v/>
      </c>
      <c r="H170" s="336">
        <f>IF(ISNUMBER(Records!H170),Records!H170,"")</f>
        <v/>
      </c>
      <c r="I170" s="336">
        <f>IF(ISNUMBER(Records!I170),6-Records!I170,"")</f>
        <v/>
      </c>
      <c r="J170" s="336">
        <f>IF(ISNUMBER(Records!J170),Records!J170,"")</f>
        <v/>
      </c>
      <c r="K170" s="336">
        <f>IF(ISNUMBER(Records!K170),Records!K170,"")</f>
        <v/>
      </c>
      <c r="L170" s="336">
        <f>IF(ISNUMBER(Records!L170),6-Records!L170,"")</f>
        <v/>
      </c>
      <c r="M170" s="336">
        <f>IF(ISNUMBER(Records!M170),Records!M170,"")</f>
        <v/>
      </c>
      <c r="N170" s="336">
        <f>IF(ISNUMBER(Records!N170),6-Records!N170,"")</f>
        <v/>
      </c>
      <c r="O170" s="336">
        <f>IF(ISNUMBER(Records!O170),Records!O170,"")</f>
        <v/>
      </c>
      <c r="P170" s="336">
        <f>IF(ISNUMBER(Records!P170),Records!P170,"")</f>
        <v/>
      </c>
      <c r="Q170" s="336">
        <f>IF(ISNUMBER(Records!Q170),Records!Q170,"")</f>
        <v/>
      </c>
      <c r="R170" s="336">
        <f>IF(COUNT(E170:J170)&gt;=5,AVERAGE(E170:J170),"")</f>
        <v/>
      </c>
      <c r="S170" s="336">
        <f>IF(COUNT(K170:N170)&gt;=3,AVERAGE(K170:N170),"")</f>
        <v/>
      </c>
      <c r="T170" s="336">
        <f>IF(COUNT(O170:Q170)&gt;=3,AVERAGE(O170:Q170),"")</f>
        <v/>
      </c>
      <c r="U170" s="336">
        <f>IF(Records!U170="","",Records!U170)</f>
        <v/>
      </c>
    </row>
    <row r="171">
      <c r="A171" s="335">
        <f>Records!A171</f>
        <v/>
      </c>
      <c r="B171" s="335">
        <f>Records!D171</f>
        <v/>
      </c>
      <c r="C171" s="337">
        <f>IF(AND(COUNTA(Records!E171:Q171)=13,Records!R171="是"),"是","否")</f>
        <v/>
      </c>
      <c r="D171" s="337">
        <f>IF(AND(COUNTIFS(Participants!$A$3:$A$26,Records!A171,Participants!$V$3:$V$26,"是")=1,Records!R171="是",OR(Records!V171="",Records!V171="无"),Records!X171="是",Records!Y171="是"),"是","否")</f>
        <v/>
      </c>
      <c r="E171" s="336">
        <f>IF(ISNUMBER(Records!E171),Records!E171,"")</f>
        <v/>
      </c>
      <c r="F171" s="336">
        <f>IF(ISNUMBER(Records!F171),Records!F171,"")</f>
        <v/>
      </c>
      <c r="G171" s="336">
        <f>IF(ISNUMBER(Records!G171),6-Records!G171,"")</f>
        <v/>
      </c>
      <c r="H171" s="336">
        <f>IF(ISNUMBER(Records!H171),Records!H171,"")</f>
        <v/>
      </c>
      <c r="I171" s="336">
        <f>IF(ISNUMBER(Records!I171),6-Records!I171,"")</f>
        <v/>
      </c>
      <c r="J171" s="336">
        <f>IF(ISNUMBER(Records!J171),Records!J171,"")</f>
        <v/>
      </c>
      <c r="K171" s="336">
        <f>IF(ISNUMBER(Records!K171),Records!K171,"")</f>
        <v/>
      </c>
      <c r="L171" s="336">
        <f>IF(ISNUMBER(Records!L171),6-Records!L171,"")</f>
        <v/>
      </c>
      <c r="M171" s="336">
        <f>IF(ISNUMBER(Records!M171),Records!M171,"")</f>
        <v/>
      </c>
      <c r="N171" s="336">
        <f>IF(ISNUMBER(Records!N171),6-Records!N171,"")</f>
        <v/>
      </c>
      <c r="O171" s="336">
        <f>IF(ISNUMBER(Records!O171),Records!O171,"")</f>
        <v/>
      </c>
      <c r="P171" s="336">
        <f>IF(ISNUMBER(Records!P171),Records!P171,"")</f>
        <v/>
      </c>
      <c r="Q171" s="336">
        <f>IF(ISNUMBER(Records!Q171),Records!Q171,"")</f>
        <v/>
      </c>
      <c r="R171" s="336">
        <f>IF(COUNT(E171:J171)&gt;=5,AVERAGE(E171:J171),"")</f>
        <v/>
      </c>
      <c r="S171" s="336">
        <f>IF(COUNT(K171:N171)&gt;=3,AVERAGE(K171:N171),"")</f>
        <v/>
      </c>
      <c r="T171" s="336">
        <f>IF(COUNT(O171:Q171)&gt;=3,AVERAGE(O171:Q171),"")</f>
        <v/>
      </c>
      <c r="U171" s="336">
        <f>IF(Records!U171="","",Records!U171)</f>
        <v/>
      </c>
    </row>
    <row r="172">
      <c r="A172" s="335">
        <f>Records!A172</f>
        <v/>
      </c>
      <c r="B172" s="335">
        <f>Records!D172</f>
        <v/>
      </c>
      <c r="C172" s="337">
        <f>IF(AND(COUNTA(Records!E172:Q172)=13,Records!R172="是"),"是","否")</f>
        <v/>
      </c>
      <c r="D172" s="337">
        <f>IF(AND(COUNTIFS(Participants!$A$3:$A$26,Records!A172,Participants!$V$3:$V$26,"是")=1,Records!R172="是",OR(Records!V172="",Records!V172="无"),Records!X172="是",Records!Y172="是"),"是","否")</f>
        <v/>
      </c>
      <c r="E172" s="336">
        <f>IF(ISNUMBER(Records!E172),Records!E172,"")</f>
        <v/>
      </c>
      <c r="F172" s="336">
        <f>IF(ISNUMBER(Records!F172),Records!F172,"")</f>
        <v/>
      </c>
      <c r="G172" s="336">
        <f>IF(ISNUMBER(Records!G172),6-Records!G172,"")</f>
        <v/>
      </c>
      <c r="H172" s="336">
        <f>IF(ISNUMBER(Records!H172),Records!H172,"")</f>
        <v/>
      </c>
      <c r="I172" s="336">
        <f>IF(ISNUMBER(Records!I172),6-Records!I172,"")</f>
        <v/>
      </c>
      <c r="J172" s="336">
        <f>IF(ISNUMBER(Records!J172),Records!J172,"")</f>
        <v/>
      </c>
      <c r="K172" s="336">
        <f>IF(ISNUMBER(Records!K172),Records!K172,"")</f>
        <v/>
      </c>
      <c r="L172" s="336">
        <f>IF(ISNUMBER(Records!L172),6-Records!L172,"")</f>
        <v/>
      </c>
      <c r="M172" s="336">
        <f>IF(ISNUMBER(Records!M172),Records!M172,"")</f>
        <v/>
      </c>
      <c r="N172" s="336">
        <f>IF(ISNUMBER(Records!N172),6-Records!N172,"")</f>
        <v/>
      </c>
      <c r="O172" s="336">
        <f>IF(ISNUMBER(Records!O172),Records!O172,"")</f>
        <v/>
      </c>
      <c r="P172" s="336">
        <f>IF(ISNUMBER(Records!P172),Records!P172,"")</f>
        <v/>
      </c>
      <c r="Q172" s="336">
        <f>IF(ISNUMBER(Records!Q172),Records!Q172,"")</f>
        <v/>
      </c>
      <c r="R172" s="336">
        <f>IF(COUNT(E172:J172)&gt;=5,AVERAGE(E172:J172),"")</f>
        <v/>
      </c>
      <c r="S172" s="336">
        <f>IF(COUNT(K172:N172)&gt;=3,AVERAGE(K172:N172),"")</f>
        <v/>
      </c>
      <c r="T172" s="336">
        <f>IF(COUNT(O172:Q172)&gt;=3,AVERAGE(O172:Q172),"")</f>
        <v/>
      </c>
      <c r="U172" s="336">
        <f>IF(Records!U172="","",Records!U172)</f>
        <v/>
      </c>
    </row>
    <row r="173">
      <c r="A173" s="335">
        <f>Records!A173</f>
        <v/>
      </c>
      <c r="B173" s="335">
        <f>Records!D173</f>
        <v/>
      </c>
      <c r="C173" s="337">
        <f>IF(AND(COUNTA(Records!E173:Q173)=13,Records!R173="是"),"是","否")</f>
        <v/>
      </c>
      <c r="D173" s="337">
        <f>IF(AND(COUNTIFS(Participants!$A$3:$A$26,Records!A173,Participants!$V$3:$V$26,"是")=1,Records!R173="是",OR(Records!V173="",Records!V173="无"),Records!X173="是",Records!Y173="是"),"是","否")</f>
        <v/>
      </c>
      <c r="E173" s="336">
        <f>IF(ISNUMBER(Records!E173),Records!E173,"")</f>
        <v/>
      </c>
      <c r="F173" s="336">
        <f>IF(ISNUMBER(Records!F173),Records!F173,"")</f>
        <v/>
      </c>
      <c r="G173" s="336">
        <f>IF(ISNUMBER(Records!G173),6-Records!G173,"")</f>
        <v/>
      </c>
      <c r="H173" s="336">
        <f>IF(ISNUMBER(Records!H173),Records!H173,"")</f>
        <v/>
      </c>
      <c r="I173" s="336">
        <f>IF(ISNUMBER(Records!I173),6-Records!I173,"")</f>
        <v/>
      </c>
      <c r="J173" s="336">
        <f>IF(ISNUMBER(Records!J173),Records!J173,"")</f>
        <v/>
      </c>
      <c r="K173" s="336">
        <f>IF(ISNUMBER(Records!K173),Records!K173,"")</f>
        <v/>
      </c>
      <c r="L173" s="336">
        <f>IF(ISNUMBER(Records!L173),6-Records!L173,"")</f>
        <v/>
      </c>
      <c r="M173" s="336">
        <f>IF(ISNUMBER(Records!M173),Records!M173,"")</f>
        <v/>
      </c>
      <c r="N173" s="336">
        <f>IF(ISNUMBER(Records!N173),6-Records!N173,"")</f>
        <v/>
      </c>
      <c r="O173" s="336">
        <f>IF(ISNUMBER(Records!O173),Records!O173,"")</f>
        <v/>
      </c>
      <c r="P173" s="336">
        <f>IF(ISNUMBER(Records!P173),Records!P173,"")</f>
        <v/>
      </c>
      <c r="Q173" s="336">
        <f>IF(ISNUMBER(Records!Q173),Records!Q173,"")</f>
        <v/>
      </c>
      <c r="R173" s="336">
        <f>IF(COUNT(E173:J173)&gt;=5,AVERAGE(E173:J173),"")</f>
        <v/>
      </c>
      <c r="S173" s="336">
        <f>IF(COUNT(K173:N173)&gt;=3,AVERAGE(K173:N173),"")</f>
        <v/>
      </c>
      <c r="T173" s="336">
        <f>IF(COUNT(O173:Q173)&gt;=3,AVERAGE(O173:Q173),"")</f>
        <v/>
      </c>
      <c r="U173" s="336">
        <f>IF(Records!U173="","",Records!U173)</f>
        <v/>
      </c>
    </row>
    <row r="174">
      <c r="A174" s="335">
        <f>Records!A174</f>
        <v/>
      </c>
      <c r="B174" s="335">
        <f>Records!D174</f>
        <v/>
      </c>
      <c r="C174" s="337">
        <f>IF(AND(COUNTA(Records!E174:Q174)=13,Records!R174="是"),"是","否")</f>
        <v/>
      </c>
      <c r="D174" s="337">
        <f>IF(AND(COUNTIFS(Participants!$A$3:$A$26,Records!A174,Participants!$V$3:$V$26,"是")=1,Records!R174="是",OR(Records!V174="",Records!V174="无"),Records!X174="是",Records!Y174="是"),"是","否")</f>
        <v/>
      </c>
      <c r="E174" s="336">
        <f>IF(ISNUMBER(Records!E174),Records!E174,"")</f>
        <v/>
      </c>
      <c r="F174" s="336">
        <f>IF(ISNUMBER(Records!F174),Records!F174,"")</f>
        <v/>
      </c>
      <c r="G174" s="336">
        <f>IF(ISNUMBER(Records!G174),6-Records!G174,"")</f>
        <v/>
      </c>
      <c r="H174" s="336">
        <f>IF(ISNUMBER(Records!H174),Records!H174,"")</f>
        <v/>
      </c>
      <c r="I174" s="336">
        <f>IF(ISNUMBER(Records!I174),6-Records!I174,"")</f>
        <v/>
      </c>
      <c r="J174" s="336">
        <f>IF(ISNUMBER(Records!J174),Records!J174,"")</f>
        <v/>
      </c>
      <c r="K174" s="336">
        <f>IF(ISNUMBER(Records!K174),Records!K174,"")</f>
        <v/>
      </c>
      <c r="L174" s="336">
        <f>IF(ISNUMBER(Records!L174),6-Records!L174,"")</f>
        <v/>
      </c>
      <c r="M174" s="336">
        <f>IF(ISNUMBER(Records!M174),Records!M174,"")</f>
        <v/>
      </c>
      <c r="N174" s="336">
        <f>IF(ISNUMBER(Records!N174),6-Records!N174,"")</f>
        <v/>
      </c>
      <c r="O174" s="336">
        <f>IF(ISNUMBER(Records!O174),Records!O174,"")</f>
        <v/>
      </c>
      <c r="P174" s="336">
        <f>IF(ISNUMBER(Records!P174),Records!P174,"")</f>
        <v/>
      </c>
      <c r="Q174" s="336">
        <f>IF(ISNUMBER(Records!Q174),Records!Q174,"")</f>
        <v/>
      </c>
      <c r="R174" s="336">
        <f>IF(COUNT(E174:J174)&gt;=5,AVERAGE(E174:J174),"")</f>
        <v/>
      </c>
      <c r="S174" s="336">
        <f>IF(COUNT(K174:N174)&gt;=3,AVERAGE(K174:N174),"")</f>
        <v/>
      </c>
      <c r="T174" s="336">
        <f>IF(COUNT(O174:Q174)&gt;=3,AVERAGE(O174:Q174),"")</f>
        <v/>
      </c>
      <c r="U174" s="336">
        <f>IF(Records!U174="","",Records!U174)</f>
        <v/>
      </c>
    </row>
    <row r="175">
      <c r="A175" s="335">
        <f>Records!A175</f>
        <v/>
      </c>
      <c r="B175" s="335">
        <f>Records!D175</f>
        <v/>
      </c>
      <c r="C175" s="337">
        <f>IF(AND(COUNTA(Records!E175:Q175)=13,Records!R175="是"),"是","否")</f>
        <v/>
      </c>
      <c r="D175" s="337">
        <f>IF(AND(COUNTIFS(Participants!$A$3:$A$26,Records!A175,Participants!$V$3:$V$26,"是")=1,Records!R175="是",OR(Records!V175="",Records!V175="无"),Records!X175="是",Records!Y175="是"),"是","否")</f>
        <v/>
      </c>
      <c r="E175" s="336">
        <f>IF(ISNUMBER(Records!E175),Records!E175,"")</f>
        <v/>
      </c>
      <c r="F175" s="336">
        <f>IF(ISNUMBER(Records!F175),Records!F175,"")</f>
        <v/>
      </c>
      <c r="G175" s="336">
        <f>IF(ISNUMBER(Records!G175),6-Records!G175,"")</f>
        <v/>
      </c>
      <c r="H175" s="336">
        <f>IF(ISNUMBER(Records!H175),Records!H175,"")</f>
        <v/>
      </c>
      <c r="I175" s="336">
        <f>IF(ISNUMBER(Records!I175),6-Records!I175,"")</f>
        <v/>
      </c>
      <c r="J175" s="336">
        <f>IF(ISNUMBER(Records!J175),Records!J175,"")</f>
        <v/>
      </c>
      <c r="K175" s="336">
        <f>IF(ISNUMBER(Records!K175),Records!K175,"")</f>
        <v/>
      </c>
      <c r="L175" s="336">
        <f>IF(ISNUMBER(Records!L175),6-Records!L175,"")</f>
        <v/>
      </c>
      <c r="M175" s="336">
        <f>IF(ISNUMBER(Records!M175),Records!M175,"")</f>
        <v/>
      </c>
      <c r="N175" s="336">
        <f>IF(ISNUMBER(Records!N175),6-Records!N175,"")</f>
        <v/>
      </c>
      <c r="O175" s="336">
        <f>IF(ISNUMBER(Records!O175),Records!O175,"")</f>
        <v/>
      </c>
      <c r="P175" s="336">
        <f>IF(ISNUMBER(Records!P175),Records!P175,"")</f>
        <v/>
      </c>
      <c r="Q175" s="336">
        <f>IF(ISNUMBER(Records!Q175),Records!Q175,"")</f>
        <v/>
      </c>
      <c r="R175" s="336">
        <f>IF(COUNT(E175:J175)&gt;=5,AVERAGE(E175:J175),"")</f>
        <v/>
      </c>
      <c r="S175" s="336">
        <f>IF(COUNT(K175:N175)&gt;=3,AVERAGE(K175:N175),"")</f>
        <v/>
      </c>
      <c r="T175" s="336">
        <f>IF(COUNT(O175:Q175)&gt;=3,AVERAGE(O175:Q175),"")</f>
        <v/>
      </c>
      <c r="U175" s="336">
        <f>IF(Records!U175="","",Records!U175)</f>
        <v/>
      </c>
    </row>
    <row r="176">
      <c r="A176" s="335">
        <f>Records!A176</f>
        <v/>
      </c>
      <c r="B176" s="335">
        <f>Records!D176</f>
        <v/>
      </c>
      <c r="C176" s="337">
        <f>IF(AND(COUNTA(Records!E176:Q176)=13,Records!R176="是"),"是","否")</f>
        <v/>
      </c>
      <c r="D176" s="337">
        <f>IF(AND(COUNTIFS(Participants!$A$3:$A$26,Records!A176,Participants!$V$3:$V$26,"是")=1,Records!R176="是",OR(Records!V176="",Records!V176="无"),Records!X176="是",Records!Y176="是"),"是","否")</f>
        <v/>
      </c>
      <c r="E176" s="336">
        <f>IF(ISNUMBER(Records!E176),Records!E176,"")</f>
        <v/>
      </c>
      <c r="F176" s="336">
        <f>IF(ISNUMBER(Records!F176),Records!F176,"")</f>
        <v/>
      </c>
      <c r="G176" s="336">
        <f>IF(ISNUMBER(Records!G176),6-Records!G176,"")</f>
        <v/>
      </c>
      <c r="H176" s="336">
        <f>IF(ISNUMBER(Records!H176),Records!H176,"")</f>
        <v/>
      </c>
      <c r="I176" s="336">
        <f>IF(ISNUMBER(Records!I176),6-Records!I176,"")</f>
        <v/>
      </c>
      <c r="J176" s="336">
        <f>IF(ISNUMBER(Records!J176),Records!J176,"")</f>
        <v/>
      </c>
      <c r="K176" s="336">
        <f>IF(ISNUMBER(Records!K176),Records!K176,"")</f>
        <v/>
      </c>
      <c r="L176" s="336">
        <f>IF(ISNUMBER(Records!L176),6-Records!L176,"")</f>
        <v/>
      </c>
      <c r="M176" s="336">
        <f>IF(ISNUMBER(Records!M176),Records!M176,"")</f>
        <v/>
      </c>
      <c r="N176" s="336">
        <f>IF(ISNUMBER(Records!N176),6-Records!N176,"")</f>
        <v/>
      </c>
      <c r="O176" s="336">
        <f>IF(ISNUMBER(Records!O176),Records!O176,"")</f>
        <v/>
      </c>
      <c r="P176" s="336">
        <f>IF(ISNUMBER(Records!P176),Records!P176,"")</f>
        <v/>
      </c>
      <c r="Q176" s="336">
        <f>IF(ISNUMBER(Records!Q176),Records!Q176,"")</f>
        <v/>
      </c>
      <c r="R176" s="336">
        <f>IF(COUNT(E176:J176)&gt;=5,AVERAGE(E176:J176),"")</f>
        <v/>
      </c>
      <c r="S176" s="336">
        <f>IF(COUNT(K176:N176)&gt;=3,AVERAGE(K176:N176),"")</f>
        <v/>
      </c>
      <c r="T176" s="336">
        <f>IF(COUNT(O176:Q176)&gt;=3,AVERAGE(O176:Q176),"")</f>
        <v/>
      </c>
      <c r="U176" s="336">
        <f>IF(Records!U176="","",Records!U176)</f>
        <v/>
      </c>
    </row>
    <row r="177">
      <c r="A177" s="335">
        <f>Records!A177</f>
        <v/>
      </c>
      <c r="B177" s="335">
        <f>Records!D177</f>
        <v/>
      </c>
      <c r="C177" s="337">
        <f>IF(AND(COUNTA(Records!E177:Q177)=13,Records!R177="是"),"是","否")</f>
        <v/>
      </c>
      <c r="D177" s="337">
        <f>IF(AND(COUNTIFS(Participants!$A$3:$A$26,Records!A177,Participants!$V$3:$V$26,"是")=1,Records!R177="是",OR(Records!V177="",Records!V177="无"),Records!X177="是",Records!Y177="是"),"是","否")</f>
        <v/>
      </c>
      <c r="E177" s="336">
        <f>IF(ISNUMBER(Records!E177),Records!E177,"")</f>
        <v/>
      </c>
      <c r="F177" s="336">
        <f>IF(ISNUMBER(Records!F177),Records!F177,"")</f>
        <v/>
      </c>
      <c r="G177" s="336">
        <f>IF(ISNUMBER(Records!G177),6-Records!G177,"")</f>
        <v/>
      </c>
      <c r="H177" s="336">
        <f>IF(ISNUMBER(Records!H177),Records!H177,"")</f>
        <v/>
      </c>
      <c r="I177" s="336">
        <f>IF(ISNUMBER(Records!I177),6-Records!I177,"")</f>
        <v/>
      </c>
      <c r="J177" s="336">
        <f>IF(ISNUMBER(Records!J177),Records!J177,"")</f>
        <v/>
      </c>
      <c r="K177" s="336">
        <f>IF(ISNUMBER(Records!K177),Records!K177,"")</f>
        <v/>
      </c>
      <c r="L177" s="336">
        <f>IF(ISNUMBER(Records!L177),6-Records!L177,"")</f>
        <v/>
      </c>
      <c r="M177" s="336">
        <f>IF(ISNUMBER(Records!M177),Records!M177,"")</f>
        <v/>
      </c>
      <c r="N177" s="336">
        <f>IF(ISNUMBER(Records!N177),6-Records!N177,"")</f>
        <v/>
      </c>
      <c r="O177" s="336">
        <f>IF(ISNUMBER(Records!O177),Records!O177,"")</f>
        <v/>
      </c>
      <c r="P177" s="336">
        <f>IF(ISNUMBER(Records!P177),Records!P177,"")</f>
        <v/>
      </c>
      <c r="Q177" s="336">
        <f>IF(ISNUMBER(Records!Q177),Records!Q177,"")</f>
        <v/>
      </c>
      <c r="R177" s="336">
        <f>IF(COUNT(E177:J177)&gt;=5,AVERAGE(E177:J177),"")</f>
        <v/>
      </c>
      <c r="S177" s="336">
        <f>IF(COUNT(K177:N177)&gt;=3,AVERAGE(K177:N177),"")</f>
        <v/>
      </c>
      <c r="T177" s="336">
        <f>IF(COUNT(O177:Q177)&gt;=3,AVERAGE(O177:Q177),"")</f>
        <v/>
      </c>
      <c r="U177" s="336">
        <f>IF(Records!U177="","",Records!U177)</f>
        <v/>
      </c>
    </row>
    <row r="178">
      <c r="A178" s="335">
        <f>Records!A178</f>
        <v/>
      </c>
      <c r="B178" s="335">
        <f>Records!D178</f>
        <v/>
      </c>
      <c r="C178" s="337">
        <f>IF(AND(COUNTA(Records!E178:Q178)=13,Records!R178="是"),"是","否")</f>
        <v/>
      </c>
      <c r="D178" s="337">
        <f>IF(AND(COUNTIFS(Participants!$A$3:$A$26,Records!A178,Participants!$V$3:$V$26,"是")=1,Records!R178="是",OR(Records!V178="",Records!V178="无"),Records!X178="是",Records!Y178="是"),"是","否")</f>
        <v/>
      </c>
      <c r="E178" s="336">
        <f>IF(ISNUMBER(Records!E178),Records!E178,"")</f>
        <v/>
      </c>
      <c r="F178" s="336">
        <f>IF(ISNUMBER(Records!F178),Records!F178,"")</f>
        <v/>
      </c>
      <c r="G178" s="336">
        <f>IF(ISNUMBER(Records!G178),6-Records!G178,"")</f>
        <v/>
      </c>
      <c r="H178" s="336">
        <f>IF(ISNUMBER(Records!H178),Records!H178,"")</f>
        <v/>
      </c>
      <c r="I178" s="336">
        <f>IF(ISNUMBER(Records!I178),6-Records!I178,"")</f>
        <v/>
      </c>
      <c r="J178" s="336">
        <f>IF(ISNUMBER(Records!J178),Records!J178,"")</f>
        <v/>
      </c>
      <c r="K178" s="336">
        <f>IF(ISNUMBER(Records!K178),Records!K178,"")</f>
        <v/>
      </c>
      <c r="L178" s="336">
        <f>IF(ISNUMBER(Records!L178),6-Records!L178,"")</f>
        <v/>
      </c>
      <c r="M178" s="336">
        <f>IF(ISNUMBER(Records!M178),Records!M178,"")</f>
        <v/>
      </c>
      <c r="N178" s="336">
        <f>IF(ISNUMBER(Records!N178),6-Records!N178,"")</f>
        <v/>
      </c>
      <c r="O178" s="336">
        <f>IF(ISNUMBER(Records!O178),Records!O178,"")</f>
        <v/>
      </c>
      <c r="P178" s="336">
        <f>IF(ISNUMBER(Records!P178),Records!P178,"")</f>
        <v/>
      </c>
      <c r="Q178" s="336">
        <f>IF(ISNUMBER(Records!Q178),Records!Q178,"")</f>
        <v/>
      </c>
      <c r="R178" s="336">
        <f>IF(COUNT(E178:J178)&gt;=5,AVERAGE(E178:J178),"")</f>
        <v/>
      </c>
      <c r="S178" s="336">
        <f>IF(COUNT(K178:N178)&gt;=3,AVERAGE(K178:N178),"")</f>
        <v/>
      </c>
      <c r="T178" s="336">
        <f>IF(COUNT(O178:Q178)&gt;=3,AVERAGE(O178:Q178),"")</f>
        <v/>
      </c>
      <c r="U178" s="336">
        <f>IF(Records!U178="","",Records!U178)</f>
        <v/>
      </c>
    </row>
    <row r="179">
      <c r="A179" s="335">
        <f>Records!A179</f>
        <v/>
      </c>
      <c r="B179" s="335">
        <f>Records!D179</f>
        <v/>
      </c>
      <c r="C179" s="337">
        <f>IF(AND(COUNTA(Records!E179:Q179)=13,Records!R179="是"),"是","否")</f>
        <v/>
      </c>
      <c r="D179" s="337">
        <f>IF(AND(COUNTIFS(Participants!$A$3:$A$26,Records!A179,Participants!$V$3:$V$26,"是")=1,Records!R179="是",OR(Records!V179="",Records!V179="无"),Records!X179="是",Records!Y179="是"),"是","否")</f>
        <v/>
      </c>
      <c r="E179" s="336">
        <f>IF(ISNUMBER(Records!E179),Records!E179,"")</f>
        <v/>
      </c>
      <c r="F179" s="336">
        <f>IF(ISNUMBER(Records!F179),Records!F179,"")</f>
        <v/>
      </c>
      <c r="G179" s="336">
        <f>IF(ISNUMBER(Records!G179),6-Records!G179,"")</f>
        <v/>
      </c>
      <c r="H179" s="336">
        <f>IF(ISNUMBER(Records!H179),Records!H179,"")</f>
        <v/>
      </c>
      <c r="I179" s="336">
        <f>IF(ISNUMBER(Records!I179),6-Records!I179,"")</f>
        <v/>
      </c>
      <c r="J179" s="336">
        <f>IF(ISNUMBER(Records!J179),Records!J179,"")</f>
        <v/>
      </c>
      <c r="K179" s="336">
        <f>IF(ISNUMBER(Records!K179),Records!K179,"")</f>
        <v/>
      </c>
      <c r="L179" s="336">
        <f>IF(ISNUMBER(Records!L179),6-Records!L179,"")</f>
        <v/>
      </c>
      <c r="M179" s="336">
        <f>IF(ISNUMBER(Records!M179),Records!M179,"")</f>
        <v/>
      </c>
      <c r="N179" s="336">
        <f>IF(ISNUMBER(Records!N179),6-Records!N179,"")</f>
        <v/>
      </c>
      <c r="O179" s="336">
        <f>IF(ISNUMBER(Records!O179),Records!O179,"")</f>
        <v/>
      </c>
      <c r="P179" s="336">
        <f>IF(ISNUMBER(Records!P179),Records!P179,"")</f>
        <v/>
      </c>
      <c r="Q179" s="336">
        <f>IF(ISNUMBER(Records!Q179),Records!Q179,"")</f>
        <v/>
      </c>
      <c r="R179" s="336">
        <f>IF(COUNT(E179:J179)&gt;=5,AVERAGE(E179:J179),"")</f>
        <v/>
      </c>
      <c r="S179" s="336">
        <f>IF(COUNT(K179:N179)&gt;=3,AVERAGE(K179:N179),"")</f>
        <v/>
      </c>
      <c r="T179" s="336">
        <f>IF(COUNT(O179:Q179)&gt;=3,AVERAGE(O179:Q179),"")</f>
        <v/>
      </c>
      <c r="U179" s="336">
        <f>IF(Records!U179="","",Records!U179)</f>
        <v/>
      </c>
    </row>
    <row r="180">
      <c r="A180" s="335">
        <f>Records!A180</f>
        <v/>
      </c>
      <c r="B180" s="335">
        <f>Records!D180</f>
        <v/>
      </c>
      <c r="C180" s="337">
        <f>IF(AND(COUNTA(Records!E180:Q180)=13,Records!R180="是"),"是","否")</f>
        <v/>
      </c>
      <c r="D180" s="337">
        <f>IF(AND(COUNTIFS(Participants!$A$3:$A$26,Records!A180,Participants!$V$3:$V$26,"是")=1,Records!R180="是",OR(Records!V180="",Records!V180="无"),Records!X180="是",Records!Y180="是"),"是","否")</f>
        <v/>
      </c>
      <c r="E180" s="336">
        <f>IF(ISNUMBER(Records!E180),Records!E180,"")</f>
        <v/>
      </c>
      <c r="F180" s="336">
        <f>IF(ISNUMBER(Records!F180),Records!F180,"")</f>
        <v/>
      </c>
      <c r="G180" s="336">
        <f>IF(ISNUMBER(Records!G180),6-Records!G180,"")</f>
        <v/>
      </c>
      <c r="H180" s="336">
        <f>IF(ISNUMBER(Records!H180),Records!H180,"")</f>
        <v/>
      </c>
      <c r="I180" s="336">
        <f>IF(ISNUMBER(Records!I180),6-Records!I180,"")</f>
        <v/>
      </c>
      <c r="J180" s="336">
        <f>IF(ISNUMBER(Records!J180),Records!J180,"")</f>
        <v/>
      </c>
      <c r="K180" s="336">
        <f>IF(ISNUMBER(Records!K180),Records!K180,"")</f>
        <v/>
      </c>
      <c r="L180" s="336">
        <f>IF(ISNUMBER(Records!L180),6-Records!L180,"")</f>
        <v/>
      </c>
      <c r="M180" s="336">
        <f>IF(ISNUMBER(Records!M180),Records!M180,"")</f>
        <v/>
      </c>
      <c r="N180" s="336">
        <f>IF(ISNUMBER(Records!N180),6-Records!N180,"")</f>
        <v/>
      </c>
      <c r="O180" s="336">
        <f>IF(ISNUMBER(Records!O180),Records!O180,"")</f>
        <v/>
      </c>
      <c r="P180" s="336">
        <f>IF(ISNUMBER(Records!P180),Records!P180,"")</f>
        <v/>
      </c>
      <c r="Q180" s="336">
        <f>IF(ISNUMBER(Records!Q180),Records!Q180,"")</f>
        <v/>
      </c>
      <c r="R180" s="336">
        <f>IF(COUNT(E180:J180)&gt;=5,AVERAGE(E180:J180),"")</f>
        <v/>
      </c>
      <c r="S180" s="336">
        <f>IF(COUNT(K180:N180)&gt;=3,AVERAGE(K180:N180),"")</f>
        <v/>
      </c>
      <c r="T180" s="336">
        <f>IF(COUNT(O180:Q180)&gt;=3,AVERAGE(O180:Q180),"")</f>
        <v/>
      </c>
      <c r="U180" s="336">
        <f>IF(Records!U180="","",Records!U180)</f>
        <v/>
      </c>
    </row>
    <row r="181">
      <c r="A181" s="335">
        <f>Records!A181</f>
        <v/>
      </c>
      <c r="B181" s="335">
        <f>Records!D181</f>
        <v/>
      </c>
      <c r="C181" s="337">
        <f>IF(AND(COUNTA(Records!E181:Q181)=13,Records!R181="是"),"是","否")</f>
        <v/>
      </c>
      <c r="D181" s="337">
        <f>IF(AND(COUNTIFS(Participants!$A$3:$A$26,Records!A181,Participants!$V$3:$V$26,"是")=1,Records!R181="是",OR(Records!V181="",Records!V181="无"),Records!X181="是",Records!Y181="是"),"是","否")</f>
        <v/>
      </c>
      <c r="E181" s="336">
        <f>IF(ISNUMBER(Records!E181),Records!E181,"")</f>
        <v/>
      </c>
      <c r="F181" s="336">
        <f>IF(ISNUMBER(Records!F181),Records!F181,"")</f>
        <v/>
      </c>
      <c r="G181" s="336">
        <f>IF(ISNUMBER(Records!G181),6-Records!G181,"")</f>
        <v/>
      </c>
      <c r="H181" s="336">
        <f>IF(ISNUMBER(Records!H181),Records!H181,"")</f>
        <v/>
      </c>
      <c r="I181" s="336">
        <f>IF(ISNUMBER(Records!I181),6-Records!I181,"")</f>
        <v/>
      </c>
      <c r="J181" s="336">
        <f>IF(ISNUMBER(Records!J181),Records!J181,"")</f>
        <v/>
      </c>
      <c r="K181" s="336">
        <f>IF(ISNUMBER(Records!K181),Records!K181,"")</f>
        <v/>
      </c>
      <c r="L181" s="336">
        <f>IF(ISNUMBER(Records!L181),6-Records!L181,"")</f>
        <v/>
      </c>
      <c r="M181" s="336">
        <f>IF(ISNUMBER(Records!M181),Records!M181,"")</f>
        <v/>
      </c>
      <c r="N181" s="336">
        <f>IF(ISNUMBER(Records!N181),6-Records!N181,"")</f>
        <v/>
      </c>
      <c r="O181" s="336">
        <f>IF(ISNUMBER(Records!O181),Records!O181,"")</f>
        <v/>
      </c>
      <c r="P181" s="336">
        <f>IF(ISNUMBER(Records!P181),Records!P181,"")</f>
        <v/>
      </c>
      <c r="Q181" s="336">
        <f>IF(ISNUMBER(Records!Q181),Records!Q181,"")</f>
        <v/>
      </c>
      <c r="R181" s="336">
        <f>IF(COUNT(E181:J181)&gt;=5,AVERAGE(E181:J181),"")</f>
        <v/>
      </c>
      <c r="S181" s="336">
        <f>IF(COUNT(K181:N181)&gt;=3,AVERAGE(K181:N181),"")</f>
        <v/>
      </c>
      <c r="T181" s="336">
        <f>IF(COUNT(O181:Q181)&gt;=3,AVERAGE(O181:Q181),"")</f>
        <v/>
      </c>
      <c r="U181" s="336">
        <f>IF(Records!U181="","",Records!U181)</f>
        <v/>
      </c>
    </row>
    <row r="182">
      <c r="A182" s="335">
        <f>Records!A182</f>
        <v/>
      </c>
      <c r="B182" s="335">
        <f>Records!D182</f>
        <v/>
      </c>
      <c r="C182" s="337">
        <f>IF(AND(COUNTA(Records!E182:Q182)=13,Records!R182="是"),"是","否")</f>
        <v/>
      </c>
      <c r="D182" s="337">
        <f>IF(AND(COUNTIFS(Participants!$A$3:$A$26,Records!A182,Participants!$V$3:$V$26,"是")=1,Records!R182="是",OR(Records!V182="",Records!V182="无"),Records!X182="是",Records!Y182="是"),"是","否")</f>
        <v/>
      </c>
      <c r="E182" s="336">
        <f>IF(ISNUMBER(Records!E182),Records!E182,"")</f>
        <v/>
      </c>
      <c r="F182" s="336">
        <f>IF(ISNUMBER(Records!F182),Records!F182,"")</f>
        <v/>
      </c>
      <c r="G182" s="336">
        <f>IF(ISNUMBER(Records!G182),6-Records!G182,"")</f>
        <v/>
      </c>
      <c r="H182" s="336">
        <f>IF(ISNUMBER(Records!H182),Records!H182,"")</f>
        <v/>
      </c>
      <c r="I182" s="336">
        <f>IF(ISNUMBER(Records!I182),6-Records!I182,"")</f>
        <v/>
      </c>
      <c r="J182" s="336">
        <f>IF(ISNUMBER(Records!J182),Records!J182,"")</f>
        <v/>
      </c>
      <c r="K182" s="336">
        <f>IF(ISNUMBER(Records!K182),Records!K182,"")</f>
        <v/>
      </c>
      <c r="L182" s="336">
        <f>IF(ISNUMBER(Records!L182),6-Records!L182,"")</f>
        <v/>
      </c>
      <c r="M182" s="336">
        <f>IF(ISNUMBER(Records!M182),Records!M182,"")</f>
        <v/>
      </c>
      <c r="N182" s="336">
        <f>IF(ISNUMBER(Records!N182),6-Records!N182,"")</f>
        <v/>
      </c>
      <c r="O182" s="336">
        <f>IF(ISNUMBER(Records!O182),Records!O182,"")</f>
        <v/>
      </c>
      <c r="P182" s="336">
        <f>IF(ISNUMBER(Records!P182),Records!P182,"")</f>
        <v/>
      </c>
      <c r="Q182" s="336">
        <f>IF(ISNUMBER(Records!Q182),Records!Q182,"")</f>
        <v/>
      </c>
      <c r="R182" s="336">
        <f>IF(COUNT(E182:J182)&gt;=5,AVERAGE(E182:J182),"")</f>
        <v/>
      </c>
      <c r="S182" s="336">
        <f>IF(COUNT(K182:N182)&gt;=3,AVERAGE(K182:N182),"")</f>
        <v/>
      </c>
      <c r="T182" s="336">
        <f>IF(COUNT(O182:Q182)&gt;=3,AVERAGE(O182:Q182),"")</f>
        <v/>
      </c>
      <c r="U182" s="336">
        <f>IF(Records!U182="","",Records!U182)</f>
        <v/>
      </c>
    </row>
    <row r="183">
      <c r="A183" s="335">
        <f>Records!A183</f>
        <v/>
      </c>
      <c r="B183" s="335">
        <f>Records!D183</f>
        <v/>
      </c>
      <c r="C183" s="337">
        <f>IF(AND(COUNTA(Records!E183:Q183)=13,Records!R183="是"),"是","否")</f>
        <v/>
      </c>
      <c r="D183" s="337">
        <f>IF(AND(COUNTIFS(Participants!$A$3:$A$26,Records!A183,Participants!$V$3:$V$26,"是")=1,Records!R183="是",OR(Records!V183="",Records!V183="无"),Records!X183="是",Records!Y183="是"),"是","否")</f>
        <v/>
      </c>
      <c r="E183" s="336">
        <f>IF(ISNUMBER(Records!E183),Records!E183,"")</f>
        <v/>
      </c>
      <c r="F183" s="336">
        <f>IF(ISNUMBER(Records!F183),Records!F183,"")</f>
        <v/>
      </c>
      <c r="G183" s="336">
        <f>IF(ISNUMBER(Records!G183),6-Records!G183,"")</f>
        <v/>
      </c>
      <c r="H183" s="336">
        <f>IF(ISNUMBER(Records!H183),Records!H183,"")</f>
        <v/>
      </c>
      <c r="I183" s="336">
        <f>IF(ISNUMBER(Records!I183),6-Records!I183,"")</f>
        <v/>
      </c>
      <c r="J183" s="336">
        <f>IF(ISNUMBER(Records!J183),Records!J183,"")</f>
        <v/>
      </c>
      <c r="K183" s="336">
        <f>IF(ISNUMBER(Records!K183),Records!K183,"")</f>
        <v/>
      </c>
      <c r="L183" s="336">
        <f>IF(ISNUMBER(Records!L183),6-Records!L183,"")</f>
        <v/>
      </c>
      <c r="M183" s="336">
        <f>IF(ISNUMBER(Records!M183),Records!M183,"")</f>
        <v/>
      </c>
      <c r="N183" s="336">
        <f>IF(ISNUMBER(Records!N183),6-Records!N183,"")</f>
        <v/>
      </c>
      <c r="O183" s="336">
        <f>IF(ISNUMBER(Records!O183),Records!O183,"")</f>
        <v/>
      </c>
      <c r="P183" s="336">
        <f>IF(ISNUMBER(Records!P183),Records!P183,"")</f>
        <v/>
      </c>
      <c r="Q183" s="336">
        <f>IF(ISNUMBER(Records!Q183),Records!Q183,"")</f>
        <v/>
      </c>
      <c r="R183" s="336">
        <f>IF(COUNT(E183:J183)&gt;=5,AVERAGE(E183:J183),"")</f>
        <v/>
      </c>
      <c r="S183" s="336">
        <f>IF(COUNT(K183:N183)&gt;=3,AVERAGE(K183:N183),"")</f>
        <v/>
      </c>
      <c r="T183" s="336">
        <f>IF(COUNT(O183:Q183)&gt;=3,AVERAGE(O183:Q183),"")</f>
        <v/>
      </c>
      <c r="U183" s="336">
        <f>IF(Records!U183="","",Records!U183)</f>
        <v/>
      </c>
    </row>
    <row r="184">
      <c r="A184" s="335">
        <f>Records!A184</f>
        <v/>
      </c>
      <c r="B184" s="335">
        <f>Records!D184</f>
        <v/>
      </c>
      <c r="C184" s="337">
        <f>IF(AND(COUNTA(Records!E184:Q184)=13,Records!R184="是"),"是","否")</f>
        <v/>
      </c>
      <c r="D184" s="337">
        <f>IF(AND(COUNTIFS(Participants!$A$3:$A$26,Records!A184,Participants!$V$3:$V$26,"是")=1,Records!R184="是",OR(Records!V184="",Records!V184="无"),Records!X184="是",Records!Y184="是"),"是","否")</f>
        <v/>
      </c>
      <c r="E184" s="336">
        <f>IF(ISNUMBER(Records!E184),Records!E184,"")</f>
        <v/>
      </c>
      <c r="F184" s="336">
        <f>IF(ISNUMBER(Records!F184),Records!F184,"")</f>
        <v/>
      </c>
      <c r="G184" s="336">
        <f>IF(ISNUMBER(Records!G184),6-Records!G184,"")</f>
        <v/>
      </c>
      <c r="H184" s="336">
        <f>IF(ISNUMBER(Records!H184),Records!H184,"")</f>
        <v/>
      </c>
      <c r="I184" s="336">
        <f>IF(ISNUMBER(Records!I184),6-Records!I184,"")</f>
        <v/>
      </c>
      <c r="J184" s="336">
        <f>IF(ISNUMBER(Records!J184),Records!J184,"")</f>
        <v/>
      </c>
      <c r="K184" s="336">
        <f>IF(ISNUMBER(Records!K184),Records!K184,"")</f>
        <v/>
      </c>
      <c r="L184" s="336">
        <f>IF(ISNUMBER(Records!L184),6-Records!L184,"")</f>
        <v/>
      </c>
      <c r="M184" s="336">
        <f>IF(ISNUMBER(Records!M184),Records!M184,"")</f>
        <v/>
      </c>
      <c r="N184" s="336">
        <f>IF(ISNUMBER(Records!N184),6-Records!N184,"")</f>
        <v/>
      </c>
      <c r="O184" s="336">
        <f>IF(ISNUMBER(Records!O184),Records!O184,"")</f>
        <v/>
      </c>
      <c r="P184" s="336">
        <f>IF(ISNUMBER(Records!P184),Records!P184,"")</f>
        <v/>
      </c>
      <c r="Q184" s="336">
        <f>IF(ISNUMBER(Records!Q184),Records!Q184,"")</f>
        <v/>
      </c>
      <c r="R184" s="336">
        <f>IF(COUNT(E184:J184)&gt;=5,AVERAGE(E184:J184),"")</f>
        <v/>
      </c>
      <c r="S184" s="336">
        <f>IF(COUNT(K184:N184)&gt;=3,AVERAGE(K184:N184),"")</f>
        <v/>
      </c>
      <c r="T184" s="336">
        <f>IF(COUNT(O184:Q184)&gt;=3,AVERAGE(O184:Q184),"")</f>
        <v/>
      </c>
      <c r="U184" s="336">
        <f>IF(Records!U184="","",Records!U184)</f>
        <v/>
      </c>
    </row>
    <row r="185">
      <c r="A185" s="335">
        <f>Records!A185</f>
        <v/>
      </c>
      <c r="B185" s="335">
        <f>Records!D185</f>
        <v/>
      </c>
      <c r="C185" s="337">
        <f>IF(AND(COUNTA(Records!E185:Q185)=13,Records!R185="是"),"是","否")</f>
        <v/>
      </c>
      <c r="D185" s="337">
        <f>IF(AND(COUNTIFS(Participants!$A$3:$A$26,Records!A185,Participants!$V$3:$V$26,"是")=1,Records!R185="是",OR(Records!V185="",Records!V185="无"),Records!X185="是",Records!Y185="是"),"是","否")</f>
        <v/>
      </c>
      <c r="E185" s="336">
        <f>IF(ISNUMBER(Records!E185),Records!E185,"")</f>
        <v/>
      </c>
      <c r="F185" s="336">
        <f>IF(ISNUMBER(Records!F185),Records!F185,"")</f>
        <v/>
      </c>
      <c r="G185" s="336">
        <f>IF(ISNUMBER(Records!G185),6-Records!G185,"")</f>
        <v/>
      </c>
      <c r="H185" s="336">
        <f>IF(ISNUMBER(Records!H185),Records!H185,"")</f>
        <v/>
      </c>
      <c r="I185" s="336">
        <f>IF(ISNUMBER(Records!I185),6-Records!I185,"")</f>
        <v/>
      </c>
      <c r="J185" s="336">
        <f>IF(ISNUMBER(Records!J185),Records!J185,"")</f>
        <v/>
      </c>
      <c r="K185" s="336">
        <f>IF(ISNUMBER(Records!K185),Records!K185,"")</f>
        <v/>
      </c>
      <c r="L185" s="336">
        <f>IF(ISNUMBER(Records!L185),6-Records!L185,"")</f>
        <v/>
      </c>
      <c r="M185" s="336">
        <f>IF(ISNUMBER(Records!M185),Records!M185,"")</f>
        <v/>
      </c>
      <c r="N185" s="336">
        <f>IF(ISNUMBER(Records!N185),6-Records!N185,"")</f>
        <v/>
      </c>
      <c r="O185" s="336">
        <f>IF(ISNUMBER(Records!O185),Records!O185,"")</f>
        <v/>
      </c>
      <c r="P185" s="336">
        <f>IF(ISNUMBER(Records!P185),Records!P185,"")</f>
        <v/>
      </c>
      <c r="Q185" s="336">
        <f>IF(ISNUMBER(Records!Q185),Records!Q185,"")</f>
        <v/>
      </c>
      <c r="R185" s="336">
        <f>IF(COUNT(E185:J185)&gt;=5,AVERAGE(E185:J185),"")</f>
        <v/>
      </c>
      <c r="S185" s="336">
        <f>IF(COUNT(K185:N185)&gt;=3,AVERAGE(K185:N185),"")</f>
        <v/>
      </c>
      <c r="T185" s="336">
        <f>IF(COUNT(O185:Q185)&gt;=3,AVERAGE(O185:Q185),"")</f>
        <v/>
      </c>
      <c r="U185" s="336">
        <f>IF(Records!U185="","",Records!U185)</f>
        <v/>
      </c>
    </row>
    <row r="186">
      <c r="A186" s="335">
        <f>Records!A186</f>
        <v/>
      </c>
      <c r="B186" s="335">
        <f>Records!D186</f>
        <v/>
      </c>
      <c r="C186" s="337">
        <f>IF(AND(COUNTA(Records!E186:Q186)=13,Records!R186="是"),"是","否")</f>
        <v/>
      </c>
      <c r="D186" s="337">
        <f>IF(AND(COUNTIFS(Participants!$A$3:$A$26,Records!A186,Participants!$V$3:$V$26,"是")=1,Records!R186="是",OR(Records!V186="",Records!V186="无"),Records!X186="是",Records!Y186="是"),"是","否")</f>
        <v/>
      </c>
      <c r="E186" s="336">
        <f>IF(ISNUMBER(Records!E186),Records!E186,"")</f>
        <v/>
      </c>
      <c r="F186" s="336">
        <f>IF(ISNUMBER(Records!F186),Records!F186,"")</f>
        <v/>
      </c>
      <c r="G186" s="336">
        <f>IF(ISNUMBER(Records!G186),6-Records!G186,"")</f>
        <v/>
      </c>
      <c r="H186" s="336">
        <f>IF(ISNUMBER(Records!H186),Records!H186,"")</f>
        <v/>
      </c>
      <c r="I186" s="336">
        <f>IF(ISNUMBER(Records!I186),6-Records!I186,"")</f>
        <v/>
      </c>
      <c r="J186" s="336">
        <f>IF(ISNUMBER(Records!J186),Records!J186,"")</f>
        <v/>
      </c>
      <c r="K186" s="336">
        <f>IF(ISNUMBER(Records!K186),Records!K186,"")</f>
        <v/>
      </c>
      <c r="L186" s="336">
        <f>IF(ISNUMBER(Records!L186),6-Records!L186,"")</f>
        <v/>
      </c>
      <c r="M186" s="336">
        <f>IF(ISNUMBER(Records!M186),Records!M186,"")</f>
        <v/>
      </c>
      <c r="N186" s="336">
        <f>IF(ISNUMBER(Records!N186),6-Records!N186,"")</f>
        <v/>
      </c>
      <c r="O186" s="336">
        <f>IF(ISNUMBER(Records!O186),Records!O186,"")</f>
        <v/>
      </c>
      <c r="P186" s="336">
        <f>IF(ISNUMBER(Records!P186),Records!P186,"")</f>
        <v/>
      </c>
      <c r="Q186" s="336">
        <f>IF(ISNUMBER(Records!Q186),Records!Q186,"")</f>
        <v/>
      </c>
      <c r="R186" s="336">
        <f>IF(COUNT(E186:J186)&gt;=5,AVERAGE(E186:J186),"")</f>
        <v/>
      </c>
      <c r="S186" s="336">
        <f>IF(COUNT(K186:N186)&gt;=3,AVERAGE(K186:N186),"")</f>
        <v/>
      </c>
      <c r="T186" s="336">
        <f>IF(COUNT(O186:Q186)&gt;=3,AVERAGE(O186:Q186),"")</f>
        <v/>
      </c>
      <c r="U186" s="336">
        <f>IF(Records!U186="","",Records!U186)</f>
        <v/>
      </c>
    </row>
    <row r="187">
      <c r="A187" s="335">
        <f>Records!A187</f>
        <v/>
      </c>
      <c r="B187" s="335">
        <f>Records!D187</f>
        <v/>
      </c>
      <c r="C187" s="337">
        <f>IF(AND(COUNTA(Records!E187:Q187)=13,Records!R187="是"),"是","否")</f>
        <v/>
      </c>
      <c r="D187" s="337">
        <f>IF(AND(COUNTIFS(Participants!$A$3:$A$26,Records!A187,Participants!$V$3:$V$26,"是")=1,Records!R187="是",OR(Records!V187="",Records!V187="无"),Records!X187="是",Records!Y187="是"),"是","否")</f>
        <v/>
      </c>
      <c r="E187" s="336">
        <f>IF(ISNUMBER(Records!E187),Records!E187,"")</f>
        <v/>
      </c>
      <c r="F187" s="336">
        <f>IF(ISNUMBER(Records!F187),Records!F187,"")</f>
        <v/>
      </c>
      <c r="G187" s="336">
        <f>IF(ISNUMBER(Records!G187),6-Records!G187,"")</f>
        <v/>
      </c>
      <c r="H187" s="336">
        <f>IF(ISNUMBER(Records!H187),Records!H187,"")</f>
        <v/>
      </c>
      <c r="I187" s="336">
        <f>IF(ISNUMBER(Records!I187),6-Records!I187,"")</f>
        <v/>
      </c>
      <c r="J187" s="336">
        <f>IF(ISNUMBER(Records!J187),Records!J187,"")</f>
        <v/>
      </c>
      <c r="K187" s="336">
        <f>IF(ISNUMBER(Records!K187),Records!K187,"")</f>
        <v/>
      </c>
      <c r="L187" s="336">
        <f>IF(ISNUMBER(Records!L187),6-Records!L187,"")</f>
        <v/>
      </c>
      <c r="M187" s="336">
        <f>IF(ISNUMBER(Records!M187),Records!M187,"")</f>
        <v/>
      </c>
      <c r="N187" s="336">
        <f>IF(ISNUMBER(Records!N187),6-Records!N187,"")</f>
        <v/>
      </c>
      <c r="O187" s="336">
        <f>IF(ISNUMBER(Records!O187),Records!O187,"")</f>
        <v/>
      </c>
      <c r="P187" s="336">
        <f>IF(ISNUMBER(Records!P187),Records!P187,"")</f>
        <v/>
      </c>
      <c r="Q187" s="336">
        <f>IF(ISNUMBER(Records!Q187),Records!Q187,"")</f>
        <v/>
      </c>
      <c r="R187" s="336">
        <f>IF(COUNT(E187:J187)&gt;=5,AVERAGE(E187:J187),"")</f>
        <v/>
      </c>
      <c r="S187" s="336">
        <f>IF(COUNT(K187:N187)&gt;=3,AVERAGE(K187:N187),"")</f>
        <v/>
      </c>
      <c r="T187" s="336">
        <f>IF(COUNT(O187:Q187)&gt;=3,AVERAGE(O187:Q187),"")</f>
        <v/>
      </c>
      <c r="U187" s="336">
        <f>IF(Records!U187="","",Records!U187)</f>
        <v/>
      </c>
    </row>
    <row r="188">
      <c r="A188" s="335">
        <f>Records!A188</f>
        <v/>
      </c>
      <c r="B188" s="335">
        <f>Records!D188</f>
        <v/>
      </c>
      <c r="C188" s="337">
        <f>IF(AND(COUNTA(Records!E188:Q188)=13,Records!R188="是"),"是","否")</f>
        <v/>
      </c>
      <c r="D188" s="337">
        <f>IF(AND(COUNTIFS(Participants!$A$3:$A$26,Records!A188,Participants!$V$3:$V$26,"是")=1,Records!R188="是",OR(Records!V188="",Records!V188="无"),Records!X188="是",Records!Y188="是"),"是","否")</f>
        <v/>
      </c>
      <c r="E188" s="336">
        <f>IF(ISNUMBER(Records!E188),Records!E188,"")</f>
        <v/>
      </c>
      <c r="F188" s="336">
        <f>IF(ISNUMBER(Records!F188),Records!F188,"")</f>
        <v/>
      </c>
      <c r="G188" s="336">
        <f>IF(ISNUMBER(Records!G188),6-Records!G188,"")</f>
        <v/>
      </c>
      <c r="H188" s="336">
        <f>IF(ISNUMBER(Records!H188),Records!H188,"")</f>
        <v/>
      </c>
      <c r="I188" s="336">
        <f>IF(ISNUMBER(Records!I188),6-Records!I188,"")</f>
        <v/>
      </c>
      <c r="J188" s="336">
        <f>IF(ISNUMBER(Records!J188),Records!J188,"")</f>
        <v/>
      </c>
      <c r="K188" s="336">
        <f>IF(ISNUMBER(Records!K188),Records!K188,"")</f>
        <v/>
      </c>
      <c r="L188" s="336">
        <f>IF(ISNUMBER(Records!L188),6-Records!L188,"")</f>
        <v/>
      </c>
      <c r="M188" s="336">
        <f>IF(ISNUMBER(Records!M188),Records!M188,"")</f>
        <v/>
      </c>
      <c r="N188" s="336">
        <f>IF(ISNUMBER(Records!N188),6-Records!N188,"")</f>
        <v/>
      </c>
      <c r="O188" s="336">
        <f>IF(ISNUMBER(Records!O188),Records!O188,"")</f>
        <v/>
      </c>
      <c r="P188" s="336">
        <f>IF(ISNUMBER(Records!P188),Records!P188,"")</f>
        <v/>
      </c>
      <c r="Q188" s="336">
        <f>IF(ISNUMBER(Records!Q188),Records!Q188,"")</f>
        <v/>
      </c>
      <c r="R188" s="336">
        <f>IF(COUNT(E188:J188)&gt;=5,AVERAGE(E188:J188),"")</f>
        <v/>
      </c>
      <c r="S188" s="336">
        <f>IF(COUNT(K188:N188)&gt;=3,AVERAGE(K188:N188),"")</f>
        <v/>
      </c>
      <c r="T188" s="336">
        <f>IF(COUNT(O188:Q188)&gt;=3,AVERAGE(O188:Q188),"")</f>
        <v/>
      </c>
      <c r="U188" s="336">
        <f>IF(Records!U188="","",Records!U188)</f>
        <v/>
      </c>
    </row>
    <row r="189">
      <c r="A189" s="335">
        <f>Records!A189</f>
        <v/>
      </c>
      <c r="B189" s="335">
        <f>Records!D189</f>
        <v/>
      </c>
      <c r="C189" s="337">
        <f>IF(AND(COUNTA(Records!E189:Q189)=13,Records!R189="是"),"是","否")</f>
        <v/>
      </c>
      <c r="D189" s="337">
        <f>IF(AND(COUNTIFS(Participants!$A$3:$A$26,Records!A189,Participants!$V$3:$V$26,"是")=1,Records!R189="是",OR(Records!V189="",Records!V189="无"),Records!X189="是",Records!Y189="是"),"是","否")</f>
        <v/>
      </c>
      <c r="E189" s="336">
        <f>IF(ISNUMBER(Records!E189),Records!E189,"")</f>
        <v/>
      </c>
      <c r="F189" s="336">
        <f>IF(ISNUMBER(Records!F189),Records!F189,"")</f>
        <v/>
      </c>
      <c r="G189" s="336">
        <f>IF(ISNUMBER(Records!G189),6-Records!G189,"")</f>
        <v/>
      </c>
      <c r="H189" s="336">
        <f>IF(ISNUMBER(Records!H189),Records!H189,"")</f>
        <v/>
      </c>
      <c r="I189" s="336">
        <f>IF(ISNUMBER(Records!I189),6-Records!I189,"")</f>
        <v/>
      </c>
      <c r="J189" s="336">
        <f>IF(ISNUMBER(Records!J189),Records!J189,"")</f>
        <v/>
      </c>
      <c r="K189" s="336">
        <f>IF(ISNUMBER(Records!K189),Records!K189,"")</f>
        <v/>
      </c>
      <c r="L189" s="336">
        <f>IF(ISNUMBER(Records!L189),6-Records!L189,"")</f>
        <v/>
      </c>
      <c r="M189" s="336">
        <f>IF(ISNUMBER(Records!M189),Records!M189,"")</f>
        <v/>
      </c>
      <c r="N189" s="336">
        <f>IF(ISNUMBER(Records!N189),6-Records!N189,"")</f>
        <v/>
      </c>
      <c r="O189" s="336">
        <f>IF(ISNUMBER(Records!O189),Records!O189,"")</f>
        <v/>
      </c>
      <c r="P189" s="336">
        <f>IF(ISNUMBER(Records!P189),Records!P189,"")</f>
        <v/>
      </c>
      <c r="Q189" s="336">
        <f>IF(ISNUMBER(Records!Q189),Records!Q189,"")</f>
        <v/>
      </c>
      <c r="R189" s="336">
        <f>IF(COUNT(E189:J189)&gt;=5,AVERAGE(E189:J189),"")</f>
        <v/>
      </c>
      <c r="S189" s="336">
        <f>IF(COUNT(K189:N189)&gt;=3,AVERAGE(K189:N189),"")</f>
        <v/>
      </c>
      <c r="T189" s="336">
        <f>IF(COUNT(O189:Q189)&gt;=3,AVERAGE(O189:Q189),"")</f>
        <v/>
      </c>
      <c r="U189" s="336">
        <f>IF(Records!U189="","",Records!U189)</f>
        <v/>
      </c>
    </row>
    <row r="190">
      <c r="A190" s="335">
        <f>Records!A190</f>
        <v/>
      </c>
      <c r="B190" s="335">
        <f>Records!D190</f>
        <v/>
      </c>
      <c r="C190" s="337">
        <f>IF(AND(COUNTA(Records!E190:Q190)=13,Records!R190="是"),"是","否")</f>
        <v/>
      </c>
      <c r="D190" s="337">
        <f>IF(AND(COUNTIFS(Participants!$A$3:$A$26,Records!A190,Participants!$V$3:$V$26,"是")=1,Records!R190="是",OR(Records!V190="",Records!V190="无"),Records!X190="是",Records!Y190="是"),"是","否")</f>
        <v/>
      </c>
      <c r="E190" s="336">
        <f>IF(ISNUMBER(Records!E190),Records!E190,"")</f>
        <v/>
      </c>
      <c r="F190" s="336">
        <f>IF(ISNUMBER(Records!F190),Records!F190,"")</f>
        <v/>
      </c>
      <c r="G190" s="336">
        <f>IF(ISNUMBER(Records!G190),6-Records!G190,"")</f>
        <v/>
      </c>
      <c r="H190" s="336">
        <f>IF(ISNUMBER(Records!H190),Records!H190,"")</f>
        <v/>
      </c>
      <c r="I190" s="336">
        <f>IF(ISNUMBER(Records!I190),6-Records!I190,"")</f>
        <v/>
      </c>
      <c r="J190" s="336">
        <f>IF(ISNUMBER(Records!J190),Records!J190,"")</f>
        <v/>
      </c>
      <c r="K190" s="336">
        <f>IF(ISNUMBER(Records!K190),Records!K190,"")</f>
        <v/>
      </c>
      <c r="L190" s="336">
        <f>IF(ISNUMBER(Records!L190),6-Records!L190,"")</f>
        <v/>
      </c>
      <c r="M190" s="336">
        <f>IF(ISNUMBER(Records!M190),Records!M190,"")</f>
        <v/>
      </c>
      <c r="N190" s="336">
        <f>IF(ISNUMBER(Records!N190),6-Records!N190,"")</f>
        <v/>
      </c>
      <c r="O190" s="336">
        <f>IF(ISNUMBER(Records!O190),Records!O190,"")</f>
        <v/>
      </c>
      <c r="P190" s="336">
        <f>IF(ISNUMBER(Records!P190),Records!P190,"")</f>
        <v/>
      </c>
      <c r="Q190" s="336">
        <f>IF(ISNUMBER(Records!Q190),Records!Q190,"")</f>
        <v/>
      </c>
      <c r="R190" s="336">
        <f>IF(COUNT(E190:J190)&gt;=5,AVERAGE(E190:J190),"")</f>
        <v/>
      </c>
      <c r="S190" s="336">
        <f>IF(COUNT(K190:N190)&gt;=3,AVERAGE(K190:N190),"")</f>
        <v/>
      </c>
      <c r="T190" s="336">
        <f>IF(COUNT(O190:Q190)&gt;=3,AVERAGE(O190:Q190),"")</f>
        <v/>
      </c>
      <c r="U190" s="336">
        <f>IF(Records!U190="","",Records!U190)</f>
        <v/>
      </c>
    </row>
    <row r="191">
      <c r="A191" s="335">
        <f>Records!A191</f>
        <v/>
      </c>
      <c r="B191" s="335">
        <f>Records!D191</f>
        <v/>
      </c>
      <c r="C191" s="337">
        <f>IF(AND(COUNTA(Records!E191:Q191)=13,Records!R191="是"),"是","否")</f>
        <v/>
      </c>
      <c r="D191" s="337">
        <f>IF(AND(COUNTIFS(Participants!$A$3:$A$26,Records!A191,Participants!$V$3:$V$26,"是")=1,Records!R191="是",OR(Records!V191="",Records!V191="无"),Records!X191="是",Records!Y191="是"),"是","否")</f>
        <v/>
      </c>
      <c r="E191" s="336">
        <f>IF(ISNUMBER(Records!E191),Records!E191,"")</f>
        <v/>
      </c>
      <c r="F191" s="336">
        <f>IF(ISNUMBER(Records!F191),Records!F191,"")</f>
        <v/>
      </c>
      <c r="G191" s="336">
        <f>IF(ISNUMBER(Records!G191),6-Records!G191,"")</f>
        <v/>
      </c>
      <c r="H191" s="336">
        <f>IF(ISNUMBER(Records!H191),Records!H191,"")</f>
        <v/>
      </c>
      <c r="I191" s="336">
        <f>IF(ISNUMBER(Records!I191),6-Records!I191,"")</f>
        <v/>
      </c>
      <c r="J191" s="336">
        <f>IF(ISNUMBER(Records!J191),Records!J191,"")</f>
        <v/>
      </c>
      <c r="K191" s="336">
        <f>IF(ISNUMBER(Records!K191),Records!K191,"")</f>
        <v/>
      </c>
      <c r="L191" s="336">
        <f>IF(ISNUMBER(Records!L191),6-Records!L191,"")</f>
        <v/>
      </c>
      <c r="M191" s="336">
        <f>IF(ISNUMBER(Records!M191),Records!M191,"")</f>
        <v/>
      </c>
      <c r="N191" s="336">
        <f>IF(ISNUMBER(Records!N191),6-Records!N191,"")</f>
        <v/>
      </c>
      <c r="O191" s="336">
        <f>IF(ISNUMBER(Records!O191),Records!O191,"")</f>
        <v/>
      </c>
      <c r="P191" s="336">
        <f>IF(ISNUMBER(Records!P191),Records!P191,"")</f>
        <v/>
      </c>
      <c r="Q191" s="336">
        <f>IF(ISNUMBER(Records!Q191),Records!Q191,"")</f>
        <v/>
      </c>
      <c r="R191" s="336">
        <f>IF(COUNT(E191:J191)&gt;=5,AVERAGE(E191:J191),"")</f>
        <v/>
      </c>
      <c r="S191" s="336">
        <f>IF(COUNT(K191:N191)&gt;=3,AVERAGE(K191:N191),"")</f>
        <v/>
      </c>
      <c r="T191" s="336">
        <f>IF(COUNT(O191:Q191)&gt;=3,AVERAGE(O191:Q191),"")</f>
        <v/>
      </c>
      <c r="U191" s="336">
        <f>IF(Records!U191="","",Records!U191)</f>
        <v/>
      </c>
    </row>
    <row r="192">
      <c r="A192" s="335">
        <f>Records!A192</f>
        <v/>
      </c>
      <c r="B192" s="335">
        <f>Records!D192</f>
        <v/>
      </c>
      <c r="C192" s="337">
        <f>IF(AND(COUNTA(Records!E192:Q192)=13,Records!R192="是"),"是","否")</f>
        <v/>
      </c>
      <c r="D192" s="337">
        <f>IF(AND(COUNTIFS(Participants!$A$3:$A$26,Records!A192,Participants!$V$3:$V$26,"是")=1,Records!R192="是",OR(Records!V192="",Records!V192="无"),Records!X192="是",Records!Y192="是"),"是","否")</f>
        <v/>
      </c>
      <c r="E192" s="336">
        <f>IF(ISNUMBER(Records!E192),Records!E192,"")</f>
        <v/>
      </c>
      <c r="F192" s="336">
        <f>IF(ISNUMBER(Records!F192),Records!F192,"")</f>
        <v/>
      </c>
      <c r="G192" s="336">
        <f>IF(ISNUMBER(Records!G192),6-Records!G192,"")</f>
        <v/>
      </c>
      <c r="H192" s="336">
        <f>IF(ISNUMBER(Records!H192),Records!H192,"")</f>
        <v/>
      </c>
      <c r="I192" s="336">
        <f>IF(ISNUMBER(Records!I192),6-Records!I192,"")</f>
        <v/>
      </c>
      <c r="J192" s="336">
        <f>IF(ISNUMBER(Records!J192),Records!J192,"")</f>
        <v/>
      </c>
      <c r="K192" s="336">
        <f>IF(ISNUMBER(Records!K192),Records!K192,"")</f>
        <v/>
      </c>
      <c r="L192" s="336">
        <f>IF(ISNUMBER(Records!L192),6-Records!L192,"")</f>
        <v/>
      </c>
      <c r="M192" s="336">
        <f>IF(ISNUMBER(Records!M192),Records!M192,"")</f>
        <v/>
      </c>
      <c r="N192" s="336">
        <f>IF(ISNUMBER(Records!N192),6-Records!N192,"")</f>
        <v/>
      </c>
      <c r="O192" s="336">
        <f>IF(ISNUMBER(Records!O192),Records!O192,"")</f>
        <v/>
      </c>
      <c r="P192" s="336">
        <f>IF(ISNUMBER(Records!P192),Records!P192,"")</f>
        <v/>
      </c>
      <c r="Q192" s="336">
        <f>IF(ISNUMBER(Records!Q192),Records!Q192,"")</f>
        <v/>
      </c>
      <c r="R192" s="336">
        <f>IF(COUNT(E192:J192)&gt;=5,AVERAGE(E192:J192),"")</f>
        <v/>
      </c>
      <c r="S192" s="336">
        <f>IF(COUNT(K192:N192)&gt;=3,AVERAGE(K192:N192),"")</f>
        <v/>
      </c>
      <c r="T192" s="336">
        <f>IF(COUNT(O192:Q192)&gt;=3,AVERAGE(O192:Q192),"")</f>
        <v/>
      </c>
      <c r="U192" s="336">
        <f>IF(Records!U192="","",Records!U192)</f>
        <v/>
      </c>
    </row>
    <row r="193">
      <c r="A193" s="335">
        <f>Records!A193</f>
        <v/>
      </c>
      <c r="B193" s="335">
        <f>Records!D193</f>
        <v/>
      </c>
      <c r="C193" s="337">
        <f>IF(AND(COUNTA(Records!E193:Q193)=13,Records!R193="是"),"是","否")</f>
        <v/>
      </c>
      <c r="D193" s="337">
        <f>IF(AND(COUNTIFS(Participants!$A$3:$A$26,Records!A193,Participants!$V$3:$V$26,"是")=1,Records!R193="是",OR(Records!V193="",Records!V193="无"),Records!X193="是",Records!Y193="是"),"是","否")</f>
        <v/>
      </c>
      <c r="E193" s="336">
        <f>IF(ISNUMBER(Records!E193),Records!E193,"")</f>
        <v/>
      </c>
      <c r="F193" s="336">
        <f>IF(ISNUMBER(Records!F193),Records!F193,"")</f>
        <v/>
      </c>
      <c r="G193" s="336">
        <f>IF(ISNUMBER(Records!G193),6-Records!G193,"")</f>
        <v/>
      </c>
      <c r="H193" s="336">
        <f>IF(ISNUMBER(Records!H193),Records!H193,"")</f>
        <v/>
      </c>
      <c r="I193" s="336">
        <f>IF(ISNUMBER(Records!I193),6-Records!I193,"")</f>
        <v/>
      </c>
      <c r="J193" s="336">
        <f>IF(ISNUMBER(Records!J193),Records!J193,"")</f>
        <v/>
      </c>
      <c r="K193" s="336">
        <f>IF(ISNUMBER(Records!K193),Records!K193,"")</f>
        <v/>
      </c>
      <c r="L193" s="336">
        <f>IF(ISNUMBER(Records!L193),6-Records!L193,"")</f>
        <v/>
      </c>
      <c r="M193" s="336">
        <f>IF(ISNUMBER(Records!M193),Records!M193,"")</f>
        <v/>
      </c>
      <c r="N193" s="336">
        <f>IF(ISNUMBER(Records!N193),6-Records!N193,"")</f>
        <v/>
      </c>
      <c r="O193" s="336">
        <f>IF(ISNUMBER(Records!O193),Records!O193,"")</f>
        <v/>
      </c>
      <c r="P193" s="336">
        <f>IF(ISNUMBER(Records!P193),Records!P193,"")</f>
        <v/>
      </c>
      <c r="Q193" s="336">
        <f>IF(ISNUMBER(Records!Q193),Records!Q193,"")</f>
        <v/>
      </c>
      <c r="R193" s="336">
        <f>IF(COUNT(E193:J193)&gt;=5,AVERAGE(E193:J193),"")</f>
        <v/>
      </c>
      <c r="S193" s="336">
        <f>IF(COUNT(K193:N193)&gt;=3,AVERAGE(K193:N193),"")</f>
        <v/>
      </c>
      <c r="T193" s="336">
        <f>IF(COUNT(O193:Q193)&gt;=3,AVERAGE(O193:Q193),"")</f>
        <v/>
      </c>
      <c r="U193" s="336">
        <f>IF(Records!U193="","",Records!U193)</f>
        <v/>
      </c>
    </row>
    <row r="194">
      <c r="A194" s="335">
        <f>Records!A194</f>
        <v/>
      </c>
      <c r="B194" s="335">
        <f>Records!D194</f>
        <v/>
      </c>
      <c r="C194" s="337">
        <f>IF(AND(COUNTA(Records!E194:Q194)=13,Records!R194="是"),"是","否")</f>
        <v/>
      </c>
      <c r="D194" s="337">
        <f>IF(AND(COUNTIFS(Participants!$A$3:$A$26,Records!A194,Participants!$V$3:$V$26,"是")=1,Records!R194="是",OR(Records!V194="",Records!V194="无"),Records!X194="是",Records!Y194="是"),"是","否")</f>
        <v/>
      </c>
      <c r="E194" s="336">
        <f>IF(ISNUMBER(Records!E194),Records!E194,"")</f>
        <v/>
      </c>
      <c r="F194" s="336">
        <f>IF(ISNUMBER(Records!F194),Records!F194,"")</f>
        <v/>
      </c>
      <c r="G194" s="336">
        <f>IF(ISNUMBER(Records!G194),6-Records!G194,"")</f>
        <v/>
      </c>
      <c r="H194" s="336">
        <f>IF(ISNUMBER(Records!H194),Records!H194,"")</f>
        <v/>
      </c>
      <c r="I194" s="336">
        <f>IF(ISNUMBER(Records!I194),6-Records!I194,"")</f>
        <v/>
      </c>
      <c r="J194" s="336">
        <f>IF(ISNUMBER(Records!J194),Records!J194,"")</f>
        <v/>
      </c>
      <c r="K194" s="336">
        <f>IF(ISNUMBER(Records!K194),Records!K194,"")</f>
        <v/>
      </c>
      <c r="L194" s="336">
        <f>IF(ISNUMBER(Records!L194),6-Records!L194,"")</f>
        <v/>
      </c>
      <c r="M194" s="336">
        <f>IF(ISNUMBER(Records!M194),Records!M194,"")</f>
        <v/>
      </c>
      <c r="N194" s="336">
        <f>IF(ISNUMBER(Records!N194),6-Records!N194,"")</f>
        <v/>
      </c>
      <c r="O194" s="336">
        <f>IF(ISNUMBER(Records!O194),Records!O194,"")</f>
        <v/>
      </c>
      <c r="P194" s="336">
        <f>IF(ISNUMBER(Records!P194),Records!P194,"")</f>
        <v/>
      </c>
      <c r="Q194" s="336">
        <f>IF(ISNUMBER(Records!Q194),Records!Q194,"")</f>
        <v/>
      </c>
      <c r="R194" s="336">
        <f>IF(COUNT(E194:J194)&gt;=5,AVERAGE(E194:J194),"")</f>
        <v/>
      </c>
      <c r="S194" s="336">
        <f>IF(COUNT(K194:N194)&gt;=3,AVERAGE(K194:N194),"")</f>
        <v/>
      </c>
      <c r="T194" s="336">
        <f>IF(COUNT(O194:Q194)&gt;=3,AVERAGE(O194:Q194),"")</f>
        <v/>
      </c>
      <c r="U194" s="336">
        <f>IF(Records!U194="","",Records!U194)</f>
        <v/>
      </c>
    </row>
    <row r="195">
      <c r="A195" s="335">
        <f>Records!A195</f>
        <v/>
      </c>
      <c r="B195" s="335">
        <f>Records!D195</f>
        <v/>
      </c>
      <c r="C195" s="337">
        <f>IF(AND(COUNTA(Records!E195:Q195)=13,Records!R195="是"),"是","否")</f>
        <v/>
      </c>
      <c r="D195" s="337">
        <f>IF(AND(COUNTIFS(Participants!$A$3:$A$26,Records!A195,Participants!$V$3:$V$26,"是")=1,Records!R195="是",OR(Records!V195="",Records!V195="无"),Records!X195="是",Records!Y195="是"),"是","否")</f>
        <v/>
      </c>
      <c r="E195" s="336">
        <f>IF(ISNUMBER(Records!E195),Records!E195,"")</f>
        <v/>
      </c>
      <c r="F195" s="336">
        <f>IF(ISNUMBER(Records!F195),Records!F195,"")</f>
        <v/>
      </c>
      <c r="G195" s="336">
        <f>IF(ISNUMBER(Records!G195),6-Records!G195,"")</f>
        <v/>
      </c>
      <c r="H195" s="336">
        <f>IF(ISNUMBER(Records!H195),Records!H195,"")</f>
        <v/>
      </c>
      <c r="I195" s="336">
        <f>IF(ISNUMBER(Records!I195),6-Records!I195,"")</f>
        <v/>
      </c>
      <c r="J195" s="336">
        <f>IF(ISNUMBER(Records!J195),Records!J195,"")</f>
        <v/>
      </c>
      <c r="K195" s="336">
        <f>IF(ISNUMBER(Records!K195),Records!K195,"")</f>
        <v/>
      </c>
      <c r="L195" s="336">
        <f>IF(ISNUMBER(Records!L195),6-Records!L195,"")</f>
        <v/>
      </c>
      <c r="M195" s="336">
        <f>IF(ISNUMBER(Records!M195),Records!M195,"")</f>
        <v/>
      </c>
      <c r="N195" s="336">
        <f>IF(ISNUMBER(Records!N195),6-Records!N195,"")</f>
        <v/>
      </c>
      <c r="O195" s="336">
        <f>IF(ISNUMBER(Records!O195),Records!O195,"")</f>
        <v/>
      </c>
      <c r="P195" s="336">
        <f>IF(ISNUMBER(Records!P195),Records!P195,"")</f>
        <v/>
      </c>
      <c r="Q195" s="336">
        <f>IF(ISNUMBER(Records!Q195),Records!Q195,"")</f>
        <v/>
      </c>
      <c r="R195" s="336">
        <f>IF(COUNT(E195:J195)&gt;=5,AVERAGE(E195:J195),"")</f>
        <v/>
      </c>
      <c r="S195" s="336">
        <f>IF(COUNT(K195:N195)&gt;=3,AVERAGE(K195:N195),"")</f>
        <v/>
      </c>
      <c r="T195" s="336">
        <f>IF(COUNT(O195:Q195)&gt;=3,AVERAGE(O195:Q195),"")</f>
        <v/>
      </c>
      <c r="U195" s="336">
        <f>IF(Records!U195="","",Records!U195)</f>
        <v/>
      </c>
    </row>
    <row r="196">
      <c r="A196" s="335">
        <f>Records!A196</f>
        <v/>
      </c>
      <c r="B196" s="335">
        <f>Records!D196</f>
        <v/>
      </c>
      <c r="C196" s="337">
        <f>IF(AND(COUNTA(Records!E196:Q196)=13,Records!R196="是"),"是","否")</f>
        <v/>
      </c>
      <c r="D196" s="337">
        <f>IF(AND(COUNTIFS(Participants!$A$3:$A$26,Records!A196,Participants!$V$3:$V$26,"是")=1,Records!R196="是",OR(Records!V196="",Records!V196="无"),Records!X196="是",Records!Y196="是"),"是","否")</f>
        <v/>
      </c>
      <c r="E196" s="336">
        <f>IF(ISNUMBER(Records!E196),Records!E196,"")</f>
        <v/>
      </c>
      <c r="F196" s="336">
        <f>IF(ISNUMBER(Records!F196),Records!F196,"")</f>
        <v/>
      </c>
      <c r="G196" s="336">
        <f>IF(ISNUMBER(Records!G196),6-Records!G196,"")</f>
        <v/>
      </c>
      <c r="H196" s="336">
        <f>IF(ISNUMBER(Records!H196),Records!H196,"")</f>
        <v/>
      </c>
      <c r="I196" s="336">
        <f>IF(ISNUMBER(Records!I196),6-Records!I196,"")</f>
        <v/>
      </c>
      <c r="J196" s="336">
        <f>IF(ISNUMBER(Records!J196),Records!J196,"")</f>
        <v/>
      </c>
      <c r="K196" s="336">
        <f>IF(ISNUMBER(Records!K196),Records!K196,"")</f>
        <v/>
      </c>
      <c r="L196" s="336">
        <f>IF(ISNUMBER(Records!L196),6-Records!L196,"")</f>
        <v/>
      </c>
      <c r="M196" s="336">
        <f>IF(ISNUMBER(Records!M196),Records!M196,"")</f>
        <v/>
      </c>
      <c r="N196" s="336">
        <f>IF(ISNUMBER(Records!N196),6-Records!N196,"")</f>
        <v/>
      </c>
      <c r="O196" s="336">
        <f>IF(ISNUMBER(Records!O196),Records!O196,"")</f>
        <v/>
      </c>
      <c r="P196" s="336">
        <f>IF(ISNUMBER(Records!P196),Records!P196,"")</f>
        <v/>
      </c>
      <c r="Q196" s="336">
        <f>IF(ISNUMBER(Records!Q196),Records!Q196,"")</f>
        <v/>
      </c>
      <c r="R196" s="336">
        <f>IF(COUNT(E196:J196)&gt;=5,AVERAGE(E196:J196),"")</f>
        <v/>
      </c>
      <c r="S196" s="336">
        <f>IF(COUNT(K196:N196)&gt;=3,AVERAGE(K196:N196),"")</f>
        <v/>
      </c>
      <c r="T196" s="336">
        <f>IF(COUNT(O196:Q196)&gt;=3,AVERAGE(O196:Q196),"")</f>
        <v/>
      </c>
      <c r="U196" s="336">
        <f>IF(Records!U196="","",Records!U196)</f>
        <v/>
      </c>
    </row>
    <row r="197">
      <c r="A197" s="335">
        <f>Records!A197</f>
        <v/>
      </c>
      <c r="B197" s="335">
        <f>Records!D197</f>
        <v/>
      </c>
      <c r="C197" s="337">
        <f>IF(AND(COUNTA(Records!E197:Q197)=13,Records!R197="是"),"是","否")</f>
        <v/>
      </c>
      <c r="D197" s="337">
        <f>IF(AND(COUNTIFS(Participants!$A$3:$A$26,Records!A197,Participants!$V$3:$V$26,"是")=1,Records!R197="是",OR(Records!V197="",Records!V197="无"),Records!X197="是",Records!Y197="是"),"是","否")</f>
        <v/>
      </c>
      <c r="E197" s="336">
        <f>IF(ISNUMBER(Records!E197),Records!E197,"")</f>
        <v/>
      </c>
      <c r="F197" s="336">
        <f>IF(ISNUMBER(Records!F197),Records!F197,"")</f>
        <v/>
      </c>
      <c r="G197" s="336">
        <f>IF(ISNUMBER(Records!G197),6-Records!G197,"")</f>
        <v/>
      </c>
      <c r="H197" s="336">
        <f>IF(ISNUMBER(Records!H197),Records!H197,"")</f>
        <v/>
      </c>
      <c r="I197" s="336">
        <f>IF(ISNUMBER(Records!I197),6-Records!I197,"")</f>
        <v/>
      </c>
      <c r="J197" s="336">
        <f>IF(ISNUMBER(Records!J197),Records!J197,"")</f>
        <v/>
      </c>
      <c r="K197" s="336">
        <f>IF(ISNUMBER(Records!K197),Records!K197,"")</f>
        <v/>
      </c>
      <c r="L197" s="336">
        <f>IF(ISNUMBER(Records!L197),6-Records!L197,"")</f>
        <v/>
      </c>
      <c r="M197" s="336">
        <f>IF(ISNUMBER(Records!M197),Records!M197,"")</f>
        <v/>
      </c>
      <c r="N197" s="336">
        <f>IF(ISNUMBER(Records!N197),6-Records!N197,"")</f>
        <v/>
      </c>
      <c r="O197" s="336">
        <f>IF(ISNUMBER(Records!O197),Records!O197,"")</f>
        <v/>
      </c>
      <c r="P197" s="336">
        <f>IF(ISNUMBER(Records!P197),Records!P197,"")</f>
        <v/>
      </c>
      <c r="Q197" s="336">
        <f>IF(ISNUMBER(Records!Q197),Records!Q197,"")</f>
        <v/>
      </c>
      <c r="R197" s="336">
        <f>IF(COUNT(E197:J197)&gt;=5,AVERAGE(E197:J197),"")</f>
        <v/>
      </c>
      <c r="S197" s="336">
        <f>IF(COUNT(K197:N197)&gt;=3,AVERAGE(K197:N197),"")</f>
        <v/>
      </c>
      <c r="T197" s="336">
        <f>IF(COUNT(O197:Q197)&gt;=3,AVERAGE(O197:Q197),"")</f>
        <v/>
      </c>
      <c r="U197" s="336">
        <f>IF(Records!U197="","",Records!U197)</f>
        <v/>
      </c>
    </row>
    <row r="198">
      <c r="A198" s="335">
        <f>Records!A198</f>
        <v/>
      </c>
      <c r="B198" s="335">
        <f>Records!D198</f>
        <v/>
      </c>
      <c r="C198" s="337">
        <f>IF(AND(COUNTA(Records!E198:Q198)=13,Records!R198="是"),"是","否")</f>
        <v/>
      </c>
      <c r="D198" s="337">
        <f>IF(AND(COUNTIFS(Participants!$A$3:$A$26,Records!A198,Participants!$V$3:$V$26,"是")=1,Records!R198="是",OR(Records!V198="",Records!V198="无"),Records!X198="是",Records!Y198="是"),"是","否")</f>
        <v/>
      </c>
      <c r="E198" s="336">
        <f>IF(ISNUMBER(Records!E198),Records!E198,"")</f>
        <v/>
      </c>
      <c r="F198" s="336">
        <f>IF(ISNUMBER(Records!F198),Records!F198,"")</f>
        <v/>
      </c>
      <c r="G198" s="336">
        <f>IF(ISNUMBER(Records!G198),6-Records!G198,"")</f>
        <v/>
      </c>
      <c r="H198" s="336">
        <f>IF(ISNUMBER(Records!H198),Records!H198,"")</f>
        <v/>
      </c>
      <c r="I198" s="336">
        <f>IF(ISNUMBER(Records!I198),6-Records!I198,"")</f>
        <v/>
      </c>
      <c r="J198" s="336">
        <f>IF(ISNUMBER(Records!J198),Records!J198,"")</f>
        <v/>
      </c>
      <c r="K198" s="336">
        <f>IF(ISNUMBER(Records!K198),Records!K198,"")</f>
        <v/>
      </c>
      <c r="L198" s="336">
        <f>IF(ISNUMBER(Records!L198),6-Records!L198,"")</f>
        <v/>
      </c>
      <c r="M198" s="336">
        <f>IF(ISNUMBER(Records!M198),Records!M198,"")</f>
        <v/>
      </c>
      <c r="N198" s="336">
        <f>IF(ISNUMBER(Records!N198),6-Records!N198,"")</f>
        <v/>
      </c>
      <c r="O198" s="336">
        <f>IF(ISNUMBER(Records!O198),Records!O198,"")</f>
        <v/>
      </c>
      <c r="P198" s="336">
        <f>IF(ISNUMBER(Records!P198),Records!P198,"")</f>
        <v/>
      </c>
      <c r="Q198" s="336">
        <f>IF(ISNUMBER(Records!Q198),Records!Q198,"")</f>
        <v/>
      </c>
      <c r="R198" s="336">
        <f>IF(COUNT(E198:J198)&gt;=5,AVERAGE(E198:J198),"")</f>
        <v/>
      </c>
      <c r="S198" s="336">
        <f>IF(COUNT(K198:N198)&gt;=3,AVERAGE(K198:N198),"")</f>
        <v/>
      </c>
      <c r="T198" s="336">
        <f>IF(COUNT(O198:Q198)&gt;=3,AVERAGE(O198:Q198),"")</f>
        <v/>
      </c>
      <c r="U198" s="336">
        <f>IF(Records!U198="","",Records!U198)</f>
        <v/>
      </c>
    </row>
    <row r="199">
      <c r="A199" s="335">
        <f>Records!A199</f>
        <v/>
      </c>
      <c r="B199" s="335">
        <f>Records!D199</f>
        <v/>
      </c>
      <c r="C199" s="337">
        <f>IF(AND(COUNTA(Records!E199:Q199)=13,Records!R199="是"),"是","否")</f>
        <v/>
      </c>
      <c r="D199" s="337">
        <f>IF(AND(COUNTIFS(Participants!$A$3:$A$26,Records!A199,Participants!$V$3:$V$26,"是")=1,Records!R199="是",OR(Records!V199="",Records!V199="无"),Records!X199="是",Records!Y199="是"),"是","否")</f>
        <v/>
      </c>
      <c r="E199" s="336">
        <f>IF(ISNUMBER(Records!E199),Records!E199,"")</f>
        <v/>
      </c>
      <c r="F199" s="336">
        <f>IF(ISNUMBER(Records!F199),Records!F199,"")</f>
        <v/>
      </c>
      <c r="G199" s="336">
        <f>IF(ISNUMBER(Records!G199),6-Records!G199,"")</f>
        <v/>
      </c>
      <c r="H199" s="336">
        <f>IF(ISNUMBER(Records!H199),Records!H199,"")</f>
        <v/>
      </c>
      <c r="I199" s="336">
        <f>IF(ISNUMBER(Records!I199),6-Records!I199,"")</f>
        <v/>
      </c>
      <c r="J199" s="336">
        <f>IF(ISNUMBER(Records!J199),Records!J199,"")</f>
        <v/>
      </c>
      <c r="K199" s="336">
        <f>IF(ISNUMBER(Records!K199),Records!K199,"")</f>
        <v/>
      </c>
      <c r="L199" s="336">
        <f>IF(ISNUMBER(Records!L199),6-Records!L199,"")</f>
        <v/>
      </c>
      <c r="M199" s="336">
        <f>IF(ISNUMBER(Records!M199),Records!M199,"")</f>
        <v/>
      </c>
      <c r="N199" s="336">
        <f>IF(ISNUMBER(Records!N199),6-Records!N199,"")</f>
        <v/>
      </c>
      <c r="O199" s="336">
        <f>IF(ISNUMBER(Records!O199),Records!O199,"")</f>
        <v/>
      </c>
      <c r="P199" s="336">
        <f>IF(ISNUMBER(Records!P199),Records!P199,"")</f>
        <v/>
      </c>
      <c r="Q199" s="336">
        <f>IF(ISNUMBER(Records!Q199),Records!Q199,"")</f>
        <v/>
      </c>
      <c r="R199" s="336">
        <f>IF(COUNT(E199:J199)&gt;=5,AVERAGE(E199:J199),"")</f>
        <v/>
      </c>
      <c r="S199" s="336">
        <f>IF(COUNT(K199:N199)&gt;=3,AVERAGE(K199:N199),"")</f>
        <v/>
      </c>
      <c r="T199" s="336">
        <f>IF(COUNT(O199:Q199)&gt;=3,AVERAGE(O199:Q199),"")</f>
        <v/>
      </c>
      <c r="U199" s="336">
        <f>IF(Records!U199="","",Records!U199)</f>
        <v/>
      </c>
    </row>
    <row r="200"/>
    <row r="201" ht="23" customHeight="1">
      <c r="A201" s="333" t="inlineStr">
        <is>
          <t>D3. 每人每方法：三个对象取均值；前 24 行 EgoAnchor，后 24 行 One-Euro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</row>
    <row r="202" ht="30" customHeight="1">
      <c r="A202" s="334" t="inlineStr">
        <is>
          <t>Participant_ID</t>
        </is>
      </c>
      <c r="B202" s="334" t="inlineStr">
        <is>
          <t>Condition</t>
        </is>
      </c>
      <c r="C202" s="334" t="inlineStr">
        <is>
          <t>Q1</t>
        </is>
      </c>
      <c r="D202" s="334" t="inlineStr">
        <is>
          <t>Q8</t>
        </is>
      </c>
      <c r="E202" s="334" t="inlineStr">
        <is>
          <t>Q2</t>
        </is>
      </c>
      <c r="F202" s="334" t="inlineStr">
        <is>
          <t>Q9</t>
        </is>
      </c>
      <c r="G202" s="334" t="inlineStr">
        <is>
          <t>Q3</t>
        </is>
      </c>
      <c r="H202" s="334" t="inlineStr">
        <is>
          <t>Q6</t>
        </is>
      </c>
      <c r="I202" s="334" t="inlineStr">
        <is>
          <t>Q7</t>
        </is>
      </c>
      <c r="J202" s="334" t="inlineStr">
        <is>
          <t>AQ_EQ</t>
        </is>
      </c>
      <c r="K202" s="334" t="inlineStr">
        <is>
          <t>AQ_IQ</t>
        </is>
      </c>
      <c r="L202" s="334" t="inlineStr">
        <is>
          <t>TIA_RC</t>
        </is>
      </c>
      <c r="M202" s="334" t="inlineStr">
        <is>
          <t>TIA_UP</t>
        </is>
      </c>
      <c r="N202" s="334" t="inlineStr">
        <is>
          <t>STIAS</t>
        </is>
      </c>
      <c r="O202" s="334" t="inlineStr">
        <is>
          <t>Q10</t>
        </is>
      </c>
      <c r="P202" s="334" t="inlineStr">
        <is>
          <t>Candidate_Rate_Hz</t>
        </is>
      </c>
      <c r="Q202" s="334" t="inlineStr">
        <is>
          <t>VCD_Median</t>
        </is>
      </c>
      <c r="R202" s="334" t="inlineStr">
        <is>
          <t>VCD_Admission_Rate</t>
        </is>
      </c>
      <c r="S202" s="334" t="inlineStr">
        <is>
          <t>Output_Availability</t>
        </is>
      </c>
      <c r="T202" s="334" t="inlineStr">
        <is>
          <t>Occlusion_Seconds</t>
        </is>
      </c>
      <c r="U202" s="334" t="inlineStr">
        <is>
          <t>Valid_Objects</t>
        </is>
      </c>
    </row>
    <row r="203">
      <c r="A203" s="335">
        <f>Participants!A3</f>
        <v/>
      </c>
      <c r="B203" s="335" t="inlineStr">
        <is>
          <t>EgoAnchor</t>
        </is>
      </c>
      <c r="C203" s="336">
        <f>IF(COUNTIFS($A$5:$A$148,$A203,$C$5:$C$148,$B203,$E$5:$E$148,"是",$F$5:$F$148,"&gt;=0")=3,AVERAGEIFS($F$5:$F$148,$A$5:$A$148,$A203,$C$5:$C$148,$B203,$E$5:$E$148,"是"),"")</f>
        <v/>
      </c>
      <c r="D203" s="336">
        <f>IF(COUNTIFS($A$5:$A$148,$A203,$C$5:$C$148,$B203,$E$5:$E$148,"是",$G$5:$G$148,"&gt;=0")=3,AVERAGEIFS($G$5:$G$148,$A$5:$A$148,$A203,$C$5:$C$148,$B203,$E$5:$E$148,"是"),"")</f>
        <v/>
      </c>
      <c r="E203" s="336">
        <f>IF(COUNTIFS($A$5:$A$148,$A203,$C$5:$C$148,$B203,$E$5:$E$148,"是",$H$5:$H$148,"&gt;=0")=3,AVERAGEIFS($H$5:$H$148,$A$5:$A$148,$A203,$C$5:$C$148,$B203,$E$5:$E$148,"是"),"")</f>
        <v/>
      </c>
      <c r="F203" s="336">
        <f>IF(COUNTIFS($A$5:$A$148,$A203,$C$5:$C$148,$B203,$E$5:$E$148,"是",$I$5:$I$148,"&gt;=0")=3,AVERAGEIFS($I$5:$I$148,$A$5:$A$148,$A203,$C$5:$C$148,$B203,$E$5:$E$148,"是"),"")</f>
        <v/>
      </c>
      <c r="G203" s="336">
        <f>IF(COUNTIFS($A$5:$A$148,$A203,$C$5:$C$148,$B203,$E$5:$E$148,"是",$J$5:$J$148,"&gt;=0")=3,AVERAGEIFS($J$5:$J$148,$A$5:$A$148,$A203,$C$5:$C$148,$B203,$E$5:$E$148,"是"),"")</f>
        <v/>
      </c>
      <c r="H203" s="336">
        <f>IF(COUNTIFS($A$5:$A$148,$A203,$C$5:$C$148,$B203,$E$5:$E$148,"是",$K$5:$K$148,"&gt;=0")=3,AVERAGEIFS($K$5:$K$148,$A$5:$A$148,$A203,$C$5:$C$148,$B203,$E$5:$E$148,"是"),"")</f>
        <v/>
      </c>
      <c r="I203" s="336">
        <f>IF(COUNTIFS($A$5:$A$148,$A203,$C$5:$C$148,$B203,$E$5:$E$148,"是",$L$5:$L$148,"&gt;=0")=3,AVERAGEIFS($L$5:$L$148,$A$5:$A$148,$A203,$C$5:$C$148,$B203,$E$5:$E$148,"是"),"")</f>
        <v/>
      </c>
      <c r="J203" s="336">
        <f>IF(COUNTIFS($A$5:$A$148,$A203,$C$5:$C$148,$B203,$E$5:$E$148,"是",$M$5:$M$148,"&gt;=0")=3,AVERAGEIFS($M$5:$M$148,$A$5:$A$148,$A203,$C$5:$C$148,$B203,$E$5:$E$148,"是"),"")</f>
        <v/>
      </c>
      <c r="K203" s="336">
        <f>IF(COUNTIFS($A$5:$A$148,$A203,$C$5:$C$148,$B203,$E$5:$E$148,"是",$N$5:$N$148,"&gt;=0")=3,AVERAGEIFS($N$5:$N$148,$A$5:$A$148,$A203,$C$5:$C$148,$B203,$E$5:$E$148,"是"),"")</f>
        <v/>
      </c>
      <c r="L203" s="336">
        <f>IF(COUNTIFS($A$152:$A$199,$A203,$B$152:$B$199,$B203,$D$152:$D$199,"是",$R$152:$R$199,"&gt;=0")=1,AVERAGEIFS($R$152:$R$199,$A$152:$A$199,$A203,$B$152:$B$199,$B203,$D$152:$D$199,"是"),"")</f>
        <v/>
      </c>
      <c r="M203" s="336">
        <f>IF(COUNTIFS($A$152:$A$199,$A203,$B$152:$B$199,$B203,$D$152:$D$199,"是",$S$152:$S$199,"&gt;=0")=1,AVERAGEIFS($S$152:$S$199,$A$152:$A$199,$A203,$B$152:$B$199,$B203,$D$152:$D$199,"是"),"")</f>
        <v/>
      </c>
      <c r="N203" s="336">
        <f>IF(COUNTIFS($A$152:$A$199,$A203,$B$152:$B$199,$B203,$D$152:$D$199,"是",$T$152:$T$199,"&gt;=0")=1,AVERAGEIFS($T$152:$T$199,$A$152:$A$199,$A203,$B$152:$B$199,$B203,$D$152:$D$199,"是"),"")</f>
        <v/>
      </c>
      <c r="O203" s="336">
        <f>IF(COUNTIFS($A$5:$A$148,$A203,$C$5:$C$148,$B203,$E$5:$E$148,"是",$O$5:$O$148,"&gt;=0")=3,AVERAGEIFS($O$5:$O$148,$A$5:$A$148,$A203,$C$5:$C$148,$B203,$E$5:$E$148,"是"),"")</f>
        <v/>
      </c>
      <c r="P203" s="336">
        <f>IF(COUNTIFS($A$5:$A$148,$A203,$C$5:$C$148,$B203,$E$5:$E$148,"是",$R$5:$R$148,"&gt;=0")=3,AVERAGEIFS($R$5:$R$148,$A$5:$A$148,$A203,$C$5:$C$148,$B203,$E$5:$E$148,"是"),"")</f>
        <v/>
      </c>
      <c r="Q203" s="336">
        <f>IF(COUNTIFS($A$5:$A$148,$A203,$C$5:$C$148,$B203,$E$5:$E$148,"是",$S$5:$S$148,"&gt;=0")=3,AVERAGEIFS($S$5:$S$148,$A$5:$A$148,$A203,$C$5:$C$148,$B203,$E$5:$E$148,"是"),"")</f>
        <v/>
      </c>
      <c r="R203" s="336">
        <f>IF(COUNTIFS($A$5:$A$148,$A203,$C$5:$C$148,$B203,$E$5:$E$148,"是",$T$5:$T$148,"&gt;=0")=3,AVERAGEIFS($T$5:$T$148,$A$5:$A$148,$A203,$C$5:$C$148,$B203,$E$5:$E$148,"是"),"")</f>
        <v/>
      </c>
      <c r="S203" s="336">
        <f>IF(COUNTIFS($A$5:$A$148,$A203,$C$5:$C$148,$B203,$E$5:$E$148,"是",$U$5:$U$148,"&gt;=0")=3,AVERAGEIFS($U$5:$U$148,$A$5:$A$148,$A203,$C$5:$C$148,$B203,$E$5:$E$148,"是"),"")</f>
        <v/>
      </c>
      <c r="T203" s="336">
        <f>IF(COUNTIFS($A$5:$A$148,$A203,$C$5:$C$148,$B203,$E$5:$E$148,"是",$V$5:$V$148,"&gt;=0")=3,AVERAGEIFS($V$5:$V$148,$A$5:$A$148,$A203,$C$5:$C$148,$B203,$E$5:$E$148,"是"),"")</f>
        <v/>
      </c>
      <c r="U203" s="336">
        <f>COUNTIFS($A$5:$A$148,$A203,$C$5:$C$148,$B203,$E$5:$E$148,"是")</f>
        <v/>
      </c>
    </row>
    <row r="204">
      <c r="A204" s="335">
        <f>Participants!A4</f>
        <v/>
      </c>
      <c r="B204" s="335" t="inlineStr">
        <is>
          <t>EgoAnchor</t>
        </is>
      </c>
      <c r="C204" s="336">
        <f>IF(COUNTIFS($A$5:$A$148,$A204,$C$5:$C$148,$B204,$E$5:$E$148,"是",$F$5:$F$148,"&gt;=0")=3,AVERAGEIFS($F$5:$F$148,$A$5:$A$148,$A204,$C$5:$C$148,$B204,$E$5:$E$148,"是"),"")</f>
        <v/>
      </c>
      <c r="D204" s="336">
        <f>IF(COUNTIFS($A$5:$A$148,$A204,$C$5:$C$148,$B204,$E$5:$E$148,"是",$G$5:$G$148,"&gt;=0")=3,AVERAGEIFS($G$5:$G$148,$A$5:$A$148,$A204,$C$5:$C$148,$B204,$E$5:$E$148,"是"),"")</f>
        <v/>
      </c>
      <c r="E204" s="336">
        <f>IF(COUNTIFS($A$5:$A$148,$A204,$C$5:$C$148,$B204,$E$5:$E$148,"是",$H$5:$H$148,"&gt;=0")=3,AVERAGEIFS($H$5:$H$148,$A$5:$A$148,$A204,$C$5:$C$148,$B204,$E$5:$E$148,"是"),"")</f>
        <v/>
      </c>
      <c r="F204" s="336">
        <f>IF(COUNTIFS($A$5:$A$148,$A204,$C$5:$C$148,$B204,$E$5:$E$148,"是",$I$5:$I$148,"&gt;=0")=3,AVERAGEIFS($I$5:$I$148,$A$5:$A$148,$A204,$C$5:$C$148,$B204,$E$5:$E$148,"是"),"")</f>
        <v/>
      </c>
      <c r="G204" s="336">
        <f>IF(COUNTIFS($A$5:$A$148,$A204,$C$5:$C$148,$B204,$E$5:$E$148,"是",$J$5:$J$148,"&gt;=0")=3,AVERAGEIFS($J$5:$J$148,$A$5:$A$148,$A204,$C$5:$C$148,$B204,$E$5:$E$148,"是"),"")</f>
        <v/>
      </c>
      <c r="H204" s="336">
        <f>IF(COUNTIFS($A$5:$A$148,$A204,$C$5:$C$148,$B204,$E$5:$E$148,"是",$K$5:$K$148,"&gt;=0")=3,AVERAGEIFS($K$5:$K$148,$A$5:$A$148,$A204,$C$5:$C$148,$B204,$E$5:$E$148,"是"),"")</f>
        <v/>
      </c>
      <c r="I204" s="336">
        <f>IF(COUNTIFS($A$5:$A$148,$A204,$C$5:$C$148,$B204,$E$5:$E$148,"是",$L$5:$L$148,"&gt;=0")=3,AVERAGEIFS($L$5:$L$148,$A$5:$A$148,$A204,$C$5:$C$148,$B204,$E$5:$E$148,"是"),"")</f>
        <v/>
      </c>
      <c r="J204" s="336">
        <f>IF(COUNTIFS($A$5:$A$148,$A204,$C$5:$C$148,$B204,$E$5:$E$148,"是",$M$5:$M$148,"&gt;=0")=3,AVERAGEIFS($M$5:$M$148,$A$5:$A$148,$A204,$C$5:$C$148,$B204,$E$5:$E$148,"是"),"")</f>
        <v/>
      </c>
      <c r="K204" s="336">
        <f>IF(COUNTIFS($A$5:$A$148,$A204,$C$5:$C$148,$B204,$E$5:$E$148,"是",$N$5:$N$148,"&gt;=0")=3,AVERAGEIFS($N$5:$N$148,$A$5:$A$148,$A204,$C$5:$C$148,$B204,$E$5:$E$148,"是"),"")</f>
        <v/>
      </c>
      <c r="L204" s="336">
        <f>IF(COUNTIFS($A$152:$A$199,$A204,$B$152:$B$199,$B204,$D$152:$D$199,"是",$R$152:$R$199,"&gt;=0")=1,AVERAGEIFS($R$152:$R$199,$A$152:$A$199,$A204,$B$152:$B$199,$B204,$D$152:$D$199,"是"),"")</f>
        <v/>
      </c>
      <c r="M204" s="336">
        <f>IF(COUNTIFS($A$152:$A$199,$A204,$B$152:$B$199,$B204,$D$152:$D$199,"是",$S$152:$S$199,"&gt;=0")=1,AVERAGEIFS($S$152:$S$199,$A$152:$A$199,$A204,$B$152:$B$199,$B204,$D$152:$D$199,"是"),"")</f>
        <v/>
      </c>
      <c r="N204" s="336">
        <f>IF(COUNTIFS($A$152:$A$199,$A204,$B$152:$B$199,$B204,$D$152:$D$199,"是",$T$152:$T$199,"&gt;=0")=1,AVERAGEIFS($T$152:$T$199,$A$152:$A$199,$A204,$B$152:$B$199,$B204,$D$152:$D$199,"是"),"")</f>
        <v/>
      </c>
      <c r="O204" s="336">
        <f>IF(COUNTIFS($A$5:$A$148,$A204,$C$5:$C$148,$B204,$E$5:$E$148,"是",$O$5:$O$148,"&gt;=0")=3,AVERAGEIFS($O$5:$O$148,$A$5:$A$148,$A204,$C$5:$C$148,$B204,$E$5:$E$148,"是"),"")</f>
        <v/>
      </c>
      <c r="P204" s="336">
        <f>IF(COUNTIFS($A$5:$A$148,$A204,$C$5:$C$148,$B204,$E$5:$E$148,"是",$R$5:$R$148,"&gt;=0")=3,AVERAGEIFS($R$5:$R$148,$A$5:$A$148,$A204,$C$5:$C$148,$B204,$E$5:$E$148,"是"),"")</f>
        <v/>
      </c>
      <c r="Q204" s="336">
        <f>IF(COUNTIFS($A$5:$A$148,$A204,$C$5:$C$148,$B204,$E$5:$E$148,"是",$S$5:$S$148,"&gt;=0")=3,AVERAGEIFS($S$5:$S$148,$A$5:$A$148,$A204,$C$5:$C$148,$B204,$E$5:$E$148,"是"),"")</f>
        <v/>
      </c>
      <c r="R204" s="336">
        <f>IF(COUNTIFS($A$5:$A$148,$A204,$C$5:$C$148,$B204,$E$5:$E$148,"是",$T$5:$T$148,"&gt;=0")=3,AVERAGEIFS($T$5:$T$148,$A$5:$A$148,$A204,$C$5:$C$148,$B204,$E$5:$E$148,"是"),"")</f>
        <v/>
      </c>
      <c r="S204" s="336">
        <f>IF(COUNTIFS($A$5:$A$148,$A204,$C$5:$C$148,$B204,$E$5:$E$148,"是",$U$5:$U$148,"&gt;=0")=3,AVERAGEIFS($U$5:$U$148,$A$5:$A$148,$A204,$C$5:$C$148,$B204,$E$5:$E$148,"是"),"")</f>
        <v/>
      </c>
      <c r="T204" s="336">
        <f>IF(COUNTIFS($A$5:$A$148,$A204,$C$5:$C$148,$B204,$E$5:$E$148,"是",$V$5:$V$148,"&gt;=0")=3,AVERAGEIFS($V$5:$V$148,$A$5:$A$148,$A204,$C$5:$C$148,$B204,$E$5:$E$148,"是"),"")</f>
        <v/>
      </c>
      <c r="U204" s="336">
        <f>COUNTIFS($A$5:$A$148,$A204,$C$5:$C$148,$B204,$E$5:$E$148,"是")</f>
        <v/>
      </c>
    </row>
    <row r="205">
      <c r="A205" s="335">
        <f>Participants!A5</f>
        <v/>
      </c>
      <c r="B205" s="335" t="inlineStr">
        <is>
          <t>EgoAnchor</t>
        </is>
      </c>
      <c r="C205" s="336">
        <f>IF(COUNTIFS($A$5:$A$148,$A205,$C$5:$C$148,$B205,$E$5:$E$148,"是",$F$5:$F$148,"&gt;=0")=3,AVERAGEIFS($F$5:$F$148,$A$5:$A$148,$A205,$C$5:$C$148,$B205,$E$5:$E$148,"是"),"")</f>
        <v/>
      </c>
      <c r="D205" s="336">
        <f>IF(COUNTIFS($A$5:$A$148,$A205,$C$5:$C$148,$B205,$E$5:$E$148,"是",$G$5:$G$148,"&gt;=0")=3,AVERAGEIFS($G$5:$G$148,$A$5:$A$148,$A205,$C$5:$C$148,$B205,$E$5:$E$148,"是"),"")</f>
        <v/>
      </c>
      <c r="E205" s="336">
        <f>IF(COUNTIFS($A$5:$A$148,$A205,$C$5:$C$148,$B205,$E$5:$E$148,"是",$H$5:$H$148,"&gt;=0")=3,AVERAGEIFS($H$5:$H$148,$A$5:$A$148,$A205,$C$5:$C$148,$B205,$E$5:$E$148,"是"),"")</f>
        <v/>
      </c>
      <c r="F205" s="336">
        <f>IF(COUNTIFS($A$5:$A$148,$A205,$C$5:$C$148,$B205,$E$5:$E$148,"是",$I$5:$I$148,"&gt;=0")=3,AVERAGEIFS($I$5:$I$148,$A$5:$A$148,$A205,$C$5:$C$148,$B205,$E$5:$E$148,"是"),"")</f>
        <v/>
      </c>
      <c r="G205" s="336">
        <f>IF(COUNTIFS($A$5:$A$148,$A205,$C$5:$C$148,$B205,$E$5:$E$148,"是",$J$5:$J$148,"&gt;=0")=3,AVERAGEIFS($J$5:$J$148,$A$5:$A$148,$A205,$C$5:$C$148,$B205,$E$5:$E$148,"是"),"")</f>
        <v/>
      </c>
      <c r="H205" s="336">
        <f>IF(COUNTIFS($A$5:$A$148,$A205,$C$5:$C$148,$B205,$E$5:$E$148,"是",$K$5:$K$148,"&gt;=0")=3,AVERAGEIFS($K$5:$K$148,$A$5:$A$148,$A205,$C$5:$C$148,$B205,$E$5:$E$148,"是"),"")</f>
        <v/>
      </c>
      <c r="I205" s="336">
        <f>IF(COUNTIFS($A$5:$A$148,$A205,$C$5:$C$148,$B205,$E$5:$E$148,"是",$L$5:$L$148,"&gt;=0")=3,AVERAGEIFS($L$5:$L$148,$A$5:$A$148,$A205,$C$5:$C$148,$B205,$E$5:$E$148,"是"),"")</f>
        <v/>
      </c>
      <c r="J205" s="336">
        <f>IF(COUNTIFS($A$5:$A$148,$A205,$C$5:$C$148,$B205,$E$5:$E$148,"是",$M$5:$M$148,"&gt;=0")=3,AVERAGEIFS($M$5:$M$148,$A$5:$A$148,$A205,$C$5:$C$148,$B205,$E$5:$E$148,"是"),"")</f>
        <v/>
      </c>
      <c r="K205" s="336">
        <f>IF(COUNTIFS($A$5:$A$148,$A205,$C$5:$C$148,$B205,$E$5:$E$148,"是",$N$5:$N$148,"&gt;=0")=3,AVERAGEIFS($N$5:$N$148,$A$5:$A$148,$A205,$C$5:$C$148,$B205,$E$5:$E$148,"是"),"")</f>
        <v/>
      </c>
      <c r="L205" s="336">
        <f>IF(COUNTIFS($A$152:$A$199,$A205,$B$152:$B$199,$B205,$D$152:$D$199,"是",$R$152:$R$199,"&gt;=0")=1,AVERAGEIFS($R$152:$R$199,$A$152:$A$199,$A205,$B$152:$B$199,$B205,$D$152:$D$199,"是"),"")</f>
        <v/>
      </c>
      <c r="M205" s="336">
        <f>IF(COUNTIFS($A$152:$A$199,$A205,$B$152:$B$199,$B205,$D$152:$D$199,"是",$S$152:$S$199,"&gt;=0")=1,AVERAGEIFS($S$152:$S$199,$A$152:$A$199,$A205,$B$152:$B$199,$B205,$D$152:$D$199,"是"),"")</f>
        <v/>
      </c>
      <c r="N205" s="336">
        <f>IF(COUNTIFS($A$152:$A$199,$A205,$B$152:$B$199,$B205,$D$152:$D$199,"是",$T$152:$T$199,"&gt;=0")=1,AVERAGEIFS($T$152:$T$199,$A$152:$A$199,$A205,$B$152:$B$199,$B205,$D$152:$D$199,"是"),"")</f>
        <v/>
      </c>
      <c r="O205" s="336">
        <f>IF(COUNTIFS($A$5:$A$148,$A205,$C$5:$C$148,$B205,$E$5:$E$148,"是",$O$5:$O$148,"&gt;=0")=3,AVERAGEIFS($O$5:$O$148,$A$5:$A$148,$A205,$C$5:$C$148,$B205,$E$5:$E$148,"是"),"")</f>
        <v/>
      </c>
      <c r="P205" s="336">
        <f>IF(COUNTIFS($A$5:$A$148,$A205,$C$5:$C$148,$B205,$E$5:$E$148,"是",$R$5:$R$148,"&gt;=0")=3,AVERAGEIFS($R$5:$R$148,$A$5:$A$148,$A205,$C$5:$C$148,$B205,$E$5:$E$148,"是"),"")</f>
        <v/>
      </c>
      <c r="Q205" s="336">
        <f>IF(COUNTIFS($A$5:$A$148,$A205,$C$5:$C$148,$B205,$E$5:$E$148,"是",$S$5:$S$148,"&gt;=0")=3,AVERAGEIFS($S$5:$S$148,$A$5:$A$148,$A205,$C$5:$C$148,$B205,$E$5:$E$148,"是"),"")</f>
        <v/>
      </c>
      <c r="R205" s="336">
        <f>IF(COUNTIFS($A$5:$A$148,$A205,$C$5:$C$148,$B205,$E$5:$E$148,"是",$T$5:$T$148,"&gt;=0")=3,AVERAGEIFS($T$5:$T$148,$A$5:$A$148,$A205,$C$5:$C$148,$B205,$E$5:$E$148,"是"),"")</f>
        <v/>
      </c>
      <c r="S205" s="336">
        <f>IF(COUNTIFS($A$5:$A$148,$A205,$C$5:$C$148,$B205,$E$5:$E$148,"是",$U$5:$U$148,"&gt;=0")=3,AVERAGEIFS($U$5:$U$148,$A$5:$A$148,$A205,$C$5:$C$148,$B205,$E$5:$E$148,"是"),"")</f>
        <v/>
      </c>
      <c r="T205" s="336">
        <f>IF(COUNTIFS($A$5:$A$148,$A205,$C$5:$C$148,$B205,$E$5:$E$148,"是",$V$5:$V$148,"&gt;=0")=3,AVERAGEIFS($V$5:$V$148,$A$5:$A$148,$A205,$C$5:$C$148,$B205,$E$5:$E$148,"是"),"")</f>
        <v/>
      </c>
      <c r="U205" s="336">
        <f>COUNTIFS($A$5:$A$148,$A205,$C$5:$C$148,$B205,$E$5:$E$148,"是")</f>
        <v/>
      </c>
    </row>
    <row r="206">
      <c r="A206" s="335">
        <f>Participants!A6</f>
        <v/>
      </c>
      <c r="B206" s="335" t="inlineStr">
        <is>
          <t>EgoAnchor</t>
        </is>
      </c>
      <c r="C206" s="336">
        <f>IF(COUNTIFS($A$5:$A$148,$A206,$C$5:$C$148,$B206,$E$5:$E$148,"是",$F$5:$F$148,"&gt;=0")=3,AVERAGEIFS($F$5:$F$148,$A$5:$A$148,$A206,$C$5:$C$148,$B206,$E$5:$E$148,"是"),"")</f>
        <v/>
      </c>
      <c r="D206" s="336">
        <f>IF(COUNTIFS($A$5:$A$148,$A206,$C$5:$C$148,$B206,$E$5:$E$148,"是",$G$5:$G$148,"&gt;=0")=3,AVERAGEIFS($G$5:$G$148,$A$5:$A$148,$A206,$C$5:$C$148,$B206,$E$5:$E$148,"是"),"")</f>
        <v/>
      </c>
      <c r="E206" s="336">
        <f>IF(COUNTIFS($A$5:$A$148,$A206,$C$5:$C$148,$B206,$E$5:$E$148,"是",$H$5:$H$148,"&gt;=0")=3,AVERAGEIFS($H$5:$H$148,$A$5:$A$148,$A206,$C$5:$C$148,$B206,$E$5:$E$148,"是"),"")</f>
        <v/>
      </c>
      <c r="F206" s="336">
        <f>IF(COUNTIFS($A$5:$A$148,$A206,$C$5:$C$148,$B206,$E$5:$E$148,"是",$I$5:$I$148,"&gt;=0")=3,AVERAGEIFS($I$5:$I$148,$A$5:$A$148,$A206,$C$5:$C$148,$B206,$E$5:$E$148,"是"),"")</f>
        <v/>
      </c>
      <c r="G206" s="336">
        <f>IF(COUNTIFS($A$5:$A$148,$A206,$C$5:$C$148,$B206,$E$5:$E$148,"是",$J$5:$J$148,"&gt;=0")=3,AVERAGEIFS($J$5:$J$148,$A$5:$A$148,$A206,$C$5:$C$148,$B206,$E$5:$E$148,"是"),"")</f>
        <v/>
      </c>
      <c r="H206" s="336">
        <f>IF(COUNTIFS($A$5:$A$148,$A206,$C$5:$C$148,$B206,$E$5:$E$148,"是",$K$5:$K$148,"&gt;=0")=3,AVERAGEIFS($K$5:$K$148,$A$5:$A$148,$A206,$C$5:$C$148,$B206,$E$5:$E$148,"是"),"")</f>
        <v/>
      </c>
      <c r="I206" s="336">
        <f>IF(COUNTIFS($A$5:$A$148,$A206,$C$5:$C$148,$B206,$E$5:$E$148,"是",$L$5:$L$148,"&gt;=0")=3,AVERAGEIFS($L$5:$L$148,$A$5:$A$148,$A206,$C$5:$C$148,$B206,$E$5:$E$148,"是"),"")</f>
        <v/>
      </c>
      <c r="J206" s="336">
        <f>IF(COUNTIFS($A$5:$A$148,$A206,$C$5:$C$148,$B206,$E$5:$E$148,"是",$M$5:$M$148,"&gt;=0")=3,AVERAGEIFS($M$5:$M$148,$A$5:$A$148,$A206,$C$5:$C$148,$B206,$E$5:$E$148,"是"),"")</f>
        <v/>
      </c>
      <c r="K206" s="336">
        <f>IF(COUNTIFS($A$5:$A$148,$A206,$C$5:$C$148,$B206,$E$5:$E$148,"是",$N$5:$N$148,"&gt;=0")=3,AVERAGEIFS($N$5:$N$148,$A$5:$A$148,$A206,$C$5:$C$148,$B206,$E$5:$E$148,"是"),"")</f>
        <v/>
      </c>
      <c r="L206" s="336">
        <f>IF(COUNTIFS($A$152:$A$199,$A206,$B$152:$B$199,$B206,$D$152:$D$199,"是",$R$152:$R$199,"&gt;=0")=1,AVERAGEIFS($R$152:$R$199,$A$152:$A$199,$A206,$B$152:$B$199,$B206,$D$152:$D$199,"是"),"")</f>
        <v/>
      </c>
      <c r="M206" s="336">
        <f>IF(COUNTIFS($A$152:$A$199,$A206,$B$152:$B$199,$B206,$D$152:$D$199,"是",$S$152:$S$199,"&gt;=0")=1,AVERAGEIFS($S$152:$S$199,$A$152:$A$199,$A206,$B$152:$B$199,$B206,$D$152:$D$199,"是"),"")</f>
        <v/>
      </c>
      <c r="N206" s="336">
        <f>IF(COUNTIFS($A$152:$A$199,$A206,$B$152:$B$199,$B206,$D$152:$D$199,"是",$T$152:$T$199,"&gt;=0")=1,AVERAGEIFS($T$152:$T$199,$A$152:$A$199,$A206,$B$152:$B$199,$B206,$D$152:$D$199,"是"),"")</f>
        <v/>
      </c>
      <c r="O206" s="336">
        <f>IF(COUNTIFS($A$5:$A$148,$A206,$C$5:$C$148,$B206,$E$5:$E$148,"是",$O$5:$O$148,"&gt;=0")=3,AVERAGEIFS($O$5:$O$148,$A$5:$A$148,$A206,$C$5:$C$148,$B206,$E$5:$E$148,"是"),"")</f>
        <v/>
      </c>
      <c r="P206" s="336">
        <f>IF(COUNTIFS($A$5:$A$148,$A206,$C$5:$C$148,$B206,$E$5:$E$148,"是",$R$5:$R$148,"&gt;=0")=3,AVERAGEIFS($R$5:$R$148,$A$5:$A$148,$A206,$C$5:$C$148,$B206,$E$5:$E$148,"是"),"")</f>
        <v/>
      </c>
      <c r="Q206" s="336">
        <f>IF(COUNTIFS($A$5:$A$148,$A206,$C$5:$C$148,$B206,$E$5:$E$148,"是",$S$5:$S$148,"&gt;=0")=3,AVERAGEIFS($S$5:$S$148,$A$5:$A$148,$A206,$C$5:$C$148,$B206,$E$5:$E$148,"是"),"")</f>
        <v/>
      </c>
      <c r="R206" s="336">
        <f>IF(COUNTIFS($A$5:$A$148,$A206,$C$5:$C$148,$B206,$E$5:$E$148,"是",$T$5:$T$148,"&gt;=0")=3,AVERAGEIFS($T$5:$T$148,$A$5:$A$148,$A206,$C$5:$C$148,$B206,$E$5:$E$148,"是"),"")</f>
        <v/>
      </c>
      <c r="S206" s="336">
        <f>IF(COUNTIFS($A$5:$A$148,$A206,$C$5:$C$148,$B206,$E$5:$E$148,"是",$U$5:$U$148,"&gt;=0")=3,AVERAGEIFS($U$5:$U$148,$A$5:$A$148,$A206,$C$5:$C$148,$B206,$E$5:$E$148,"是"),"")</f>
        <v/>
      </c>
      <c r="T206" s="336">
        <f>IF(COUNTIFS($A$5:$A$148,$A206,$C$5:$C$148,$B206,$E$5:$E$148,"是",$V$5:$V$148,"&gt;=0")=3,AVERAGEIFS($V$5:$V$148,$A$5:$A$148,$A206,$C$5:$C$148,$B206,$E$5:$E$148,"是"),"")</f>
        <v/>
      </c>
      <c r="U206" s="336">
        <f>COUNTIFS($A$5:$A$148,$A206,$C$5:$C$148,$B206,$E$5:$E$148,"是")</f>
        <v/>
      </c>
    </row>
    <row r="207">
      <c r="A207" s="335">
        <f>Participants!A7</f>
        <v/>
      </c>
      <c r="B207" s="335" t="inlineStr">
        <is>
          <t>EgoAnchor</t>
        </is>
      </c>
      <c r="C207" s="336">
        <f>IF(COUNTIFS($A$5:$A$148,$A207,$C$5:$C$148,$B207,$E$5:$E$148,"是",$F$5:$F$148,"&gt;=0")=3,AVERAGEIFS($F$5:$F$148,$A$5:$A$148,$A207,$C$5:$C$148,$B207,$E$5:$E$148,"是"),"")</f>
        <v/>
      </c>
      <c r="D207" s="336">
        <f>IF(COUNTIFS($A$5:$A$148,$A207,$C$5:$C$148,$B207,$E$5:$E$148,"是",$G$5:$G$148,"&gt;=0")=3,AVERAGEIFS($G$5:$G$148,$A$5:$A$148,$A207,$C$5:$C$148,$B207,$E$5:$E$148,"是"),"")</f>
        <v/>
      </c>
      <c r="E207" s="336">
        <f>IF(COUNTIFS($A$5:$A$148,$A207,$C$5:$C$148,$B207,$E$5:$E$148,"是",$H$5:$H$148,"&gt;=0")=3,AVERAGEIFS($H$5:$H$148,$A$5:$A$148,$A207,$C$5:$C$148,$B207,$E$5:$E$148,"是"),"")</f>
        <v/>
      </c>
      <c r="F207" s="336">
        <f>IF(COUNTIFS($A$5:$A$148,$A207,$C$5:$C$148,$B207,$E$5:$E$148,"是",$I$5:$I$148,"&gt;=0")=3,AVERAGEIFS($I$5:$I$148,$A$5:$A$148,$A207,$C$5:$C$148,$B207,$E$5:$E$148,"是"),"")</f>
        <v/>
      </c>
      <c r="G207" s="336">
        <f>IF(COUNTIFS($A$5:$A$148,$A207,$C$5:$C$148,$B207,$E$5:$E$148,"是",$J$5:$J$148,"&gt;=0")=3,AVERAGEIFS($J$5:$J$148,$A$5:$A$148,$A207,$C$5:$C$148,$B207,$E$5:$E$148,"是"),"")</f>
        <v/>
      </c>
      <c r="H207" s="336">
        <f>IF(COUNTIFS($A$5:$A$148,$A207,$C$5:$C$148,$B207,$E$5:$E$148,"是",$K$5:$K$148,"&gt;=0")=3,AVERAGEIFS($K$5:$K$148,$A$5:$A$148,$A207,$C$5:$C$148,$B207,$E$5:$E$148,"是"),"")</f>
        <v/>
      </c>
      <c r="I207" s="336">
        <f>IF(COUNTIFS($A$5:$A$148,$A207,$C$5:$C$148,$B207,$E$5:$E$148,"是",$L$5:$L$148,"&gt;=0")=3,AVERAGEIFS($L$5:$L$148,$A$5:$A$148,$A207,$C$5:$C$148,$B207,$E$5:$E$148,"是"),"")</f>
        <v/>
      </c>
      <c r="J207" s="336">
        <f>IF(COUNTIFS($A$5:$A$148,$A207,$C$5:$C$148,$B207,$E$5:$E$148,"是",$M$5:$M$148,"&gt;=0")=3,AVERAGEIFS($M$5:$M$148,$A$5:$A$148,$A207,$C$5:$C$148,$B207,$E$5:$E$148,"是"),"")</f>
        <v/>
      </c>
      <c r="K207" s="336">
        <f>IF(COUNTIFS($A$5:$A$148,$A207,$C$5:$C$148,$B207,$E$5:$E$148,"是",$N$5:$N$148,"&gt;=0")=3,AVERAGEIFS($N$5:$N$148,$A$5:$A$148,$A207,$C$5:$C$148,$B207,$E$5:$E$148,"是"),"")</f>
        <v/>
      </c>
      <c r="L207" s="336">
        <f>IF(COUNTIFS($A$152:$A$199,$A207,$B$152:$B$199,$B207,$D$152:$D$199,"是",$R$152:$R$199,"&gt;=0")=1,AVERAGEIFS($R$152:$R$199,$A$152:$A$199,$A207,$B$152:$B$199,$B207,$D$152:$D$199,"是"),"")</f>
        <v/>
      </c>
      <c r="M207" s="336">
        <f>IF(COUNTIFS($A$152:$A$199,$A207,$B$152:$B$199,$B207,$D$152:$D$199,"是",$S$152:$S$199,"&gt;=0")=1,AVERAGEIFS($S$152:$S$199,$A$152:$A$199,$A207,$B$152:$B$199,$B207,$D$152:$D$199,"是"),"")</f>
        <v/>
      </c>
      <c r="N207" s="336">
        <f>IF(COUNTIFS($A$152:$A$199,$A207,$B$152:$B$199,$B207,$D$152:$D$199,"是",$T$152:$T$199,"&gt;=0")=1,AVERAGEIFS($T$152:$T$199,$A$152:$A$199,$A207,$B$152:$B$199,$B207,$D$152:$D$199,"是"),"")</f>
        <v/>
      </c>
      <c r="O207" s="336">
        <f>IF(COUNTIFS($A$5:$A$148,$A207,$C$5:$C$148,$B207,$E$5:$E$148,"是",$O$5:$O$148,"&gt;=0")=3,AVERAGEIFS($O$5:$O$148,$A$5:$A$148,$A207,$C$5:$C$148,$B207,$E$5:$E$148,"是"),"")</f>
        <v/>
      </c>
      <c r="P207" s="336">
        <f>IF(COUNTIFS($A$5:$A$148,$A207,$C$5:$C$148,$B207,$E$5:$E$148,"是",$R$5:$R$148,"&gt;=0")=3,AVERAGEIFS($R$5:$R$148,$A$5:$A$148,$A207,$C$5:$C$148,$B207,$E$5:$E$148,"是"),"")</f>
        <v/>
      </c>
      <c r="Q207" s="336">
        <f>IF(COUNTIFS($A$5:$A$148,$A207,$C$5:$C$148,$B207,$E$5:$E$148,"是",$S$5:$S$148,"&gt;=0")=3,AVERAGEIFS($S$5:$S$148,$A$5:$A$148,$A207,$C$5:$C$148,$B207,$E$5:$E$148,"是"),"")</f>
        <v/>
      </c>
      <c r="R207" s="336">
        <f>IF(COUNTIFS($A$5:$A$148,$A207,$C$5:$C$148,$B207,$E$5:$E$148,"是",$T$5:$T$148,"&gt;=0")=3,AVERAGEIFS($T$5:$T$148,$A$5:$A$148,$A207,$C$5:$C$148,$B207,$E$5:$E$148,"是"),"")</f>
        <v/>
      </c>
      <c r="S207" s="336">
        <f>IF(COUNTIFS($A$5:$A$148,$A207,$C$5:$C$148,$B207,$E$5:$E$148,"是",$U$5:$U$148,"&gt;=0")=3,AVERAGEIFS($U$5:$U$148,$A$5:$A$148,$A207,$C$5:$C$148,$B207,$E$5:$E$148,"是"),"")</f>
        <v/>
      </c>
      <c r="T207" s="336">
        <f>IF(COUNTIFS($A$5:$A$148,$A207,$C$5:$C$148,$B207,$E$5:$E$148,"是",$V$5:$V$148,"&gt;=0")=3,AVERAGEIFS($V$5:$V$148,$A$5:$A$148,$A207,$C$5:$C$148,$B207,$E$5:$E$148,"是"),"")</f>
        <v/>
      </c>
      <c r="U207" s="336">
        <f>COUNTIFS($A$5:$A$148,$A207,$C$5:$C$148,$B207,$E$5:$E$148,"是")</f>
        <v/>
      </c>
    </row>
    <row r="208">
      <c r="A208" s="335">
        <f>Participants!A8</f>
        <v/>
      </c>
      <c r="B208" s="335" t="inlineStr">
        <is>
          <t>EgoAnchor</t>
        </is>
      </c>
      <c r="C208" s="336">
        <f>IF(COUNTIFS($A$5:$A$148,$A208,$C$5:$C$148,$B208,$E$5:$E$148,"是",$F$5:$F$148,"&gt;=0")=3,AVERAGEIFS($F$5:$F$148,$A$5:$A$148,$A208,$C$5:$C$148,$B208,$E$5:$E$148,"是"),"")</f>
        <v/>
      </c>
      <c r="D208" s="336">
        <f>IF(COUNTIFS($A$5:$A$148,$A208,$C$5:$C$148,$B208,$E$5:$E$148,"是",$G$5:$G$148,"&gt;=0")=3,AVERAGEIFS($G$5:$G$148,$A$5:$A$148,$A208,$C$5:$C$148,$B208,$E$5:$E$148,"是"),"")</f>
        <v/>
      </c>
      <c r="E208" s="336">
        <f>IF(COUNTIFS($A$5:$A$148,$A208,$C$5:$C$148,$B208,$E$5:$E$148,"是",$H$5:$H$148,"&gt;=0")=3,AVERAGEIFS($H$5:$H$148,$A$5:$A$148,$A208,$C$5:$C$148,$B208,$E$5:$E$148,"是"),"")</f>
        <v/>
      </c>
      <c r="F208" s="336">
        <f>IF(COUNTIFS($A$5:$A$148,$A208,$C$5:$C$148,$B208,$E$5:$E$148,"是",$I$5:$I$148,"&gt;=0")=3,AVERAGEIFS($I$5:$I$148,$A$5:$A$148,$A208,$C$5:$C$148,$B208,$E$5:$E$148,"是"),"")</f>
        <v/>
      </c>
      <c r="G208" s="336">
        <f>IF(COUNTIFS($A$5:$A$148,$A208,$C$5:$C$148,$B208,$E$5:$E$148,"是",$J$5:$J$148,"&gt;=0")=3,AVERAGEIFS($J$5:$J$148,$A$5:$A$148,$A208,$C$5:$C$148,$B208,$E$5:$E$148,"是"),"")</f>
        <v/>
      </c>
      <c r="H208" s="336">
        <f>IF(COUNTIFS($A$5:$A$148,$A208,$C$5:$C$148,$B208,$E$5:$E$148,"是",$K$5:$K$148,"&gt;=0")=3,AVERAGEIFS($K$5:$K$148,$A$5:$A$148,$A208,$C$5:$C$148,$B208,$E$5:$E$148,"是"),"")</f>
        <v/>
      </c>
      <c r="I208" s="336">
        <f>IF(COUNTIFS($A$5:$A$148,$A208,$C$5:$C$148,$B208,$E$5:$E$148,"是",$L$5:$L$148,"&gt;=0")=3,AVERAGEIFS($L$5:$L$148,$A$5:$A$148,$A208,$C$5:$C$148,$B208,$E$5:$E$148,"是"),"")</f>
        <v/>
      </c>
      <c r="J208" s="336">
        <f>IF(COUNTIFS($A$5:$A$148,$A208,$C$5:$C$148,$B208,$E$5:$E$148,"是",$M$5:$M$148,"&gt;=0")=3,AVERAGEIFS($M$5:$M$148,$A$5:$A$148,$A208,$C$5:$C$148,$B208,$E$5:$E$148,"是"),"")</f>
        <v/>
      </c>
      <c r="K208" s="336">
        <f>IF(COUNTIFS($A$5:$A$148,$A208,$C$5:$C$148,$B208,$E$5:$E$148,"是",$N$5:$N$148,"&gt;=0")=3,AVERAGEIFS($N$5:$N$148,$A$5:$A$148,$A208,$C$5:$C$148,$B208,$E$5:$E$148,"是"),"")</f>
        <v/>
      </c>
      <c r="L208" s="336">
        <f>IF(COUNTIFS($A$152:$A$199,$A208,$B$152:$B$199,$B208,$D$152:$D$199,"是",$R$152:$R$199,"&gt;=0")=1,AVERAGEIFS($R$152:$R$199,$A$152:$A$199,$A208,$B$152:$B$199,$B208,$D$152:$D$199,"是"),"")</f>
        <v/>
      </c>
      <c r="M208" s="336">
        <f>IF(COUNTIFS($A$152:$A$199,$A208,$B$152:$B$199,$B208,$D$152:$D$199,"是",$S$152:$S$199,"&gt;=0")=1,AVERAGEIFS($S$152:$S$199,$A$152:$A$199,$A208,$B$152:$B$199,$B208,$D$152:$D$199,"是"),"")</f>
        <v/>
      </c>
      <c r="N208" s="336">
        <f>IF(COUNTIFS($A$152:$A$199,$A208,$B$152:$B$199,$B208,$D$152:$D$199,"是",$T$152:$T$199,"&gt;=0")=1,AVERAGEIFS($T$152:$T$199,$A$152:$A$199,$A208,$B$152:$B$199,$B208,$D$152:$D$199,"是"),"")</f>
        <v/>
      </c>
      <c r="O208" s="336">
        <f>IF(COUNTIFS($A$5:$A$148,$A208,$C$5:$C$148,$B208,$E$5:$E$148,"是",$O$5:$O$148,"&gt;=0")=3,AVERAGEIFS($O$5:$O$148,$A$5:$A$148,$A208,$C$5:$C$148,$B208,$E$5:$E$148,"是"),"")</f>
        <v/>
      </c>
      <c r="P208" s="336">
        <f>IF(COUNTIFS($A$5:$A$148,$A208,$C$5:$C$148,$B208,$E$5:$E$148,"是",$R$5:$R$148,"&gt;=0")=3,AVERAGEIFS($R$5:$R$148,$A$5:$A$148,$A208,$C$5:$C$148,$B208,$E$5:$E$148,"是"),"")</f>
        <v/>
      </c>
      <c r="Q208" s="336">
        <f>IF(COUNTIFS($A$5:$A$148,$A208,$C$5:$C$148,$B208,$E$5:$E$148,"是",$S$5:$S$148,"&gt;=0")=3,AVERAGEIFS($S$5:$S$148,$A$5:$A$148,$A208,$C$5:$C$148,$B208,$E$5:$E$148,"是"),"")</f>
        <v/>
      </c>
      <c r="R208" s="336">
        <f>IF(COUNTIFS($A$5:$A$148,$A208,$C$5:$C$148,$B208,$E$5:$E$148,"是",$T$5:$T$148,"&gt;=0")=3,AVERAGEIFS($T$5:$T$148,$A$5:$A$148,$A208,$C$5:$C$148,$B208,$E$5:$E$148,"是"),"")</f>
        <v/>
      </c>
      <c r="S208" s="336">
        <f>IF(COUNTIFS($A$5:$A$148,$A208,$C$5:$C$148,$B208,$E$5:$E$148,"是",$U$5:$U$148,"&gt;=0")=3,AVERAGEIFS($U$5:$U$148,$A$5:$A$148,$A208,$C$5:$C$148,$B208,$E$5:$E$148,"是"),"")</f>
        <v/>
      </c>
      <c r="T208" s="336">
        <f>IF(COUNTIFS($A$5:$A$148,$A208,$C$5:$C$148,$B208,$E$5:$E$148,"是",$V$5:$V$148,"&gt;=0")=3,AVERAGEIFS($V$5:$V$148,$A$5:$A$148,$A208,$C$5:$C$148,$B208,$E$5:$E$148,"是"),"")</f>
        <v/>
      </c>
      <c r="U208" s="336">
        <f>COUNTIFS($A$5:$A$148,$A208,$C$5:$C$148,$B208,$E$5:$E$148,"是")</f>
        <v/>
      </c>
    </row>
    <row r="209">
      <c r="A209" s="335">
        <f>Participants!A9</f>
        <v/>
      </c>
      <c r="B209" s="335" t="inlineStr">
        <is>
          <t>EgoAnchor</t>
        </is>
      </c>
      <c r="C209" s="336">
        <f>IF(COUNTIFS($A$5:$A$148,$A209,$C$5:$C$148,$B209,$E$5:$E$148,"是",$F$5:$F$148,"&gt;=0")=3,AVERAGEIFS($F$5:$F$148,$A$5:$A$148,$A209,$C$5:$C$148,$B209,$E$5:$E$148,"是"),"")</f>
        <v/>
      </c>
      <c r="D209" s="336">
        <f>IF(COUNTIFS($A$5:$A$148,$A209,$C$5:$C$148,$B209,$E$5:$E$148,"是",$G$5:$G$148,"&gt;=0")=3,AVERAGEIFS($G$5:$G$148,$A$5:$A$148,$A209,$C$5:$C$148,$B209,$E$5:$E$148,"是"),"")</f>
        <v/>
      </c>
      <c r="E209" s="336">
        <f>IF(COUNTIFS($A$5:$A$148,$A209,$C$5:$C$148,$B209,$E$5:$E$148,"是",$H$5:$H$148,"&gt;=0")=3,AVERAGEIFS($H$5:$H$148,$A$5:$A$148,$A209,$C$5:$C$148,$B209,$E$5:$E$148,"是"),"")</f>
        <v/>
      </c>
      <c r="F209" s="336">
        <f>IF(COUNTIFS($A$5:$A$148,$A209,$C$5:$C$148,$B209,$E$5:$E$148,"是",$I$5:$I$148,"&gt;=0")=3,AVERAGEIFS($I$5:$I$148,$A$5:$A$148,$A209,$C$5:$C$148,$B209,$E$5:$E$148,"是"),"")</f>
        <v/>
      </c>
      <c r="G209" s="336">
        <f>IF(COUNTIFS($A$5:$A$148,$A209,$C$5:$C$148,$B209,$E$5:$E$148,"是",$J$5:$J$148,"&gt;=0")=3,AVERAGEIFS($J$5:$J$148,$A$5:$A$148,$A209,$C$5:$C$148,$B209,$E$5:$E$148,"是"),"")</f>
        <v/>
      </c>
      <c r="H209" s="336">
        <f>IF(COUNTIFS($A$5:$A$148,$A209,$C$5:$C$148,$B209,$E$5:$E$148,"是",$K$5:$K$148,"&gt;=0")=3,AVERAGEIFS($K$5:$K$148,$A$5:$A$148,$A209,$C$5:$C$148,$B209,$E$5:$E$148,"是"),"")</f>
        <v/>
      </c>
      <c r="I209" s="336">
        <f>IF(COUNTIFS($A$5:$A$148,$A209,$C$5:$C$148,$B209,$E$5:$E$148,"是",$L$5:$L$148,"&gt;=0")=3,AVERAGEIFS($L$5:$L$148,$A$5:$A$148,$A209,$C$5:$C$148,$B209,$E$5:$E$148,"是"),"")</f>
        <v/>
      </c>
      <c r="J209" s="336">
        <f>IF(COUNTIFS($A$5:$A$148,$A209,$C$5:$C$148,$B209,$E$5:$E$148,"是",$M$5:$M$148,"&gt;=0")=3,AVERAGEIFS($M$5:$M$148,$A$5:$A$148,$A209,$C$5:$C$148,$B209,$E$5:$E$148,"是"),"")</f>
        <v/>
      </c>
      <c r="K209" s="336">
        <f>IF(COUNTIFS($A$5:$A$148,$A209,$C$5:$C$148,$B209,$E$5:$E$148,"是",$N$5:$N$148,"&gt;=0")=3,AVERAGEIFS($N$5:$N$148,$A$5:$A$148,$A209,$C$5:$C$148,$B209,$E$5:$E$148,"是"),"")</f>
        <v/>
      </c>
      <c r="L209" s="336">
        <f>IF(COUNTIFS($A$152:$A$199,$A209,$B$152:$B$199,$B209,$D$152:$D$199,"是",$R$152:$R$199,"&gt;=0")=1,AVERAGEIFS($R$152:$R$199,$A$152:$A$199,$A209,$B$152:$B$199,$B209,$D$152:$D$199,"是"),"")</f>
        <v/>
      </c>
      <c r="M209" s="336">
        <f>IF(COUNTIFS($A$152:$A$199,$A209,$B$152:$B$199,$B209,$D$152:$D$199,"是",$S$152:$S$199,"&gt;=0")=1,AVERAGEIFS($S$152:$S$199,$A$152:$A$199,$A209,$B$152:$B$199,$B209,$D$152:$D$199,"是"),"")</f>
        <v/>
      </c>
      <c r="N209" s="336">
        <f>IF(COUNTIFS($A$152:$A$199,$A209,$B$152:$B$199,$B209,$D$152:$D$199,"是",$T$152:$T$199,"&gt;=0")=1,AVERAGEIFS($T$152:$T$199,$A$152:$A$199,$A209,$B$152:$B$199,$B209,$D$152:$D$199,"是"),"")</f>
        <v/>
      </c>
      <c r="O209" s="336">
        <f>IF(COUNTIFS($A$5:$A$148,$A209,$C$5:$C$148,$B209,$E$5:$E$148,"是",$O$5:$O$148,"&gt;=0")=3,AVERAGEIFS($O$5:$O$148,$A$5:$A$148,$A209,$C$5:$C$148,$B209,$E$5:$E$148,"是"),"")</f>
        <v/>
      </c>
      <c r="P209" s="336">
        <f>IF(COUNTIFS($A$5:$A$148,$A209,$C$5:$C$148,$B209,$E$5:$E$148,"是",$R$5:$R$148,"&gt;=0")=3,AVERAGEIFS($R$5:$R$148,$A$5:$A$148,$A209,$C$5:$C$148,$B209,$E$5:$E$148,"是"),"")</f>
        <v/>
      </c>
      <c r="Q209" s="336">
        <f>IF(COUNTIFS($A$5:$A$148,$A209,$C$5:$C$148,$B209,$E$5:$E$148,"是",$S$5:$S$148,"&gt;=0")=3,AVERAGEIFS($S$5:$S$148,$A$5:$A$148,$A209,$C$5:$C$148,$B209,$E$5:$E$148,"是"),"")</f>
        <v/>
      </c>
      <c r="R209" s="336">
        <f>IF(COUNTIFS($A$5:$A$148,$A209,$C$5:$C$148,$B209,$E$5:$E$148,"是",$T$5:$T$148,"&gt;=0")=3,AVERAGEIFS($T$5:$T$148,$A$5:$A$148,$A209,$C$5:$C$148,$B209,$E$5:$E$148,"是"),"")</f>
        <v/>
      </c>
      <c r="S209" s="336">
        <f>IF(COUNTIFS($A$5:$A$148,$A209,$C$5:$C$148,$B209,$E$5:$E$148,"是",$U$5:$U$148,"&gt;=0")=3,AVERAGEIFS($U$5:$U$148,$A$5:$A$148,$A209,$C$5:$C$148,$B209,$E$5:$E$148,"是"),"")</f>
        <v/>
      </c>
      <c r="T209" s="336">
        <f>IF(COUNTIFS($A$5:$A$148,$A209,$C$5:$C$148,$B209,$E$5:$E$148,"是",$V$5:$V$148,"&gt;=0")=3,AVERAGEIFS($V$5:$V$148,$A$5:$A$148,$A209,$C$5:$C$148,$B209,$E$5:$E$148,"是"),"")</f>
        <v/>
      </c>
      <c r="U209" s="336">
        <f>COUNTIFS($A$5:$A$148,$A209,$C$5:$C$148,$B209,$E$5:$E$148,"是")</f>
        <v/>
      </c>
    </row>
    <row r="210">
      <c r="A210" s="335">
        <f>Participants!A10</f>
        <v/>
      </c>
      <c r="B210" s="335" t="inlineStr">
        <is>
          <t>EgoAnchor</t>
        </is>
      </c>
      <c r="C210" s="336">
        <f>IF(COUNTIFS($A$5:$A$148,$A210,$C$5:$C$148,$B210,$E$5:$E$148,"是",$F$5:$F$148,"&gt;=0")=3,AVERAGEIFS($F$5:$F$148,$A$5:$A$148,$A210,$C$5:$C$148,$B210,$E$5:$E$148,"是"),"")</f>
        <v/>
      </c>
      <c r="D210" s="336">
        <f>IF(COUNTIFS($A$5:$A$148,$A210,$C$5:$C$148,$B210,$E$5:$E$148,"是",$G$5:$G$148,"&gt;=0")=3,AVERAGEIFS($G$5:$G$148,$A$5:$A$148,$A210,$C$5:$C$148,$B210,$E$5:$E$148,"是"),"")</f>
        <v/>
      </c>
      <c r="E210" s="336">
        <f>IF(COUNTIFS($A$5:$A$148,$A210,$C$5:$C$148,$B210,$E$5:$E$148,"是",$H$5:$H$148,"&gt;=0")=3,AVERAGEIFS($H$5:$H$148,$A$5:$A$148,$A210,$C$5:$C$148,$B210,$E$5:$E$148,"是"),"")</f>
        <v/>
      </c>
      <c r="F210" s="336">
        <f>IF(COUNTIFS($A$5:$A$148,$A210,$C$5:$C$148,$B210,$E$5:$E$148,"是",$I$5:$I$148,"&gt;=0")=3,AVERAGEIFS($I$5:$I$148,$A$5:$A$148,$A210,$C$5:$C$148,$B210,$E$5:$E$148,"是"),"")</f>
        <v/>
      </c>
      <c r="G210" s="336">
        <f>IF(COUNTIFS($A$5:$A$148,$A210,$C$5:$C$148,$B210,$E$5:$E$148,"是",$J$5:$J$148,"&gt;=0")=3,AVERAGEIFS($J$5:$J$148,$A$5:$A$148,$A210,$C$5:$C$148,$B210,$E$5:$E$148,"是"),"")</f>
        <v/>
      </c>
      <c r="H210" s="336">
        <f>IF(COUNTIFS($A$5:$A$148,$A210,$C$5:$C$148,$B210,$E$5:$E$148,"是",$K$5:$K$148,"&gt;=0")=3,AVERAGEIFS($K$5:$K$148,$A$5:$A$148,$A210,$C$5:$C$148,$B210,$E$5:$E$148,"是"),"")</f>
        <v/>
      </c>
      <c r="I210" s="336">
        <f>IF(COUNTIFS($A$5:$A$148,$A210,$C$5:$C$148,$B210,$E$5:$E$148,"是",$L$5:$L$148,"&gt;=0")=3,AVERAGEIFS($L$5:$L$148,$A$5:$A$148,$A210,$C$5:$C$148,$B210,$E$5:$E$148,"是"),"")</f>
        <v/>
      </c>
      <c r="J210" s="336">
        <f>IF(COUNTIFS($A$5:$A$148,$A210,$C$5:$C$148,$B210,$E$5:$E$148,"是",$M$5:$M$148,"&gt;=0")=3,AVERAGEIFS($M$5:$M$148,$A$5:$A$148,$A210,$C$5:$C$148,$B210,$E$5:$E$148,"是"),"")</f>
        <v/>
      </c>
      <c r="K210" s="336">
        <f>IF(COUNTIFS($A$5:$A$148,$A210,$C$5:$C$148,$B210,$E$5:$E$148,"是",$N$5:$N$148,"&gt;=0")=3,AVERAGEIFS($N$5:$N$148,$A$5:$A$148,$A210,$C$5:$C$148,$B210,$E$5:$E$148,"是"),"")</f>
        <v/>
      </c>
      <c r="L210" s="336">
        <f>IF(COUNTIFS($A$152:$A$199,$A210,$B$152:$B$199,$B210,$D$152:$D$199,"是",$R$152:$R$199,"&gt;=0")=1,AVERAGEIFS($R$152:$R$199,$A$152:$A$199,$A210,$B$152:$B$199,$B210,$D$152:$D$199,"是"),"")</f>
        <v/>
      </c>
      <c r="M210" s="336">
        <f>IF(COUNTIFS($A$152:$A$199,$A210,$B$152:$B$199,$B210,$D$152:$D$199,"是",$S$152:$S$199,"&gt;=0")=1,AVERAGEIFS($S$152:$S$199,$A$152:$A$199,$A210,$B$152:$B$199,$B210,$D$152:$D$199,"是"),"")</f>
        <v/>
      </c>
      <c r="N210" s="336">
        <f>IF(COUNTIFS($A$152:$A$199,$A210,$B$152:$B$199,$B210,$D$152:$D$199,"是",$T$152:$T$199,"&gt;=0")=1,AVERAGEIFS($T$152:$T$199,$A$152:$A$199,$A210,$B$152:$B$199,$B210,$D$152:$D$199,"是"),"")</f>
        <v/>
      </c>
      <c r="O210" s="336">
        <f>IF(COUNTIFS($A$5:$A$148,$A210,$C$5:$C$148,$B210,$E$5:$E$148,"是",$O$5:$O$148,"&gt;=0")=3,AVERAGEIFS($O$5:$O$148,$A$5:$A$148,$A210,$C$5:$C$148,$B210,$E$5:$E$148,"是"),"")</f>
        <v/>
      </c>
      <c r="P210" s="336">
        <f>IF(COUNTIFS($A$5:$A$148,$A210,$C$5:$C$148,$B210,$E$5:$E$148,"是",$R$5:$R$148,"&gt;=0")=3,AVERAGEIFS($R$5:$R$148,$A$5:$A$148,$A210,$C$5:$C$148,$B210,$E$5:$E$148,"是"),"")</f>
        <v/>
      </c>
      <c r="Q210" s="336">
        <f>IF(COUNTIFS($A$5:$A$148,$A210,$C$5:$C$148,$B210,$E$5:$E$148,"是",$S$5:$S$148,"&gt;=0")=3,AVERAGEIFS($S$5:$S$148,$A$5:$A$148,$A210,$C$5:$C$148,$B210,$E$5:$E$148,"是"),"")</f>
        <v/>
      </c>
      <c r="R210" s="336">
        <f>IF(COUNTIFS($A$5:$A$148,$A210,$C$5:$C$148,$B210,$E$5:$E$148,"是",$T$5:$T$148,"&gt;=0")=3,AVERAGEIFS($T$5:$T$148,$A$5:$A$148,$A210,$C$5:$C$148,$B210,$E$5:$E$148,"是"),"")</f>
        <v/>
      </c>
      <c r="S210" s="336">
        <f>IF(COUNTIFS($A$5:$A$148,$A210,$C$5:$C$148,$B210,$E$5:$E$148,"是",$U$5:$U$148,"&gt;=0")=3,AVERAGEIFS($U$5:$U$148,$A$5:$A$148,$A210,$C$5:$C$148,$B210,$E$5:$E$148,"是"),"")</f>
        <v/>
      </c>
      <c r="T210" s="336">
        <f>IF(COUNTIFS($A$5:$A$148,$A210,$C$5:$C$148,$B210,$E$5:$E$148,"是",$V$5:$V$148,"&gt;=0")=3,AVERAGEIFS($V$5:$V$148,$A$5:$A$148,$A210,$C$5:$C$148,$B210,$E$5:$E$148,"是"),"")</f>
        <v/>
      </c>
      <c r="U210" s="336">
        <f>COUNTIFS($A$5:$A$148,$A210,$C$5:$C$148,$B210,$E$5:$E$148,"是")</f>
        <v/>
      </c>
    </row>
    <row r="211">
      <c r="A211" s="335">
        <f>Participants!A11</f>
        <v/>
      </c>
      <c r="B211" s="335" t="inlineStr">
        <is>
          <t>EgoAnchor</t>
        </is>
      </c>
      <c r="C211" s="336">
        <f>IF(COUNTIFS($A$5:$A$148,$A211,$C$5:$C$148,$B211,$E$5:$E$148,"是",$F$5:$F$148,"&gt;=0")=3,AVERAGEIFS($F$5:$F$148,$A$5:$A$148,$A211,$C$5:$C$148,$B211,$E$5:$E$148,"是"),"")</f>
        <v/>
      </c>
      <c r="D211" s="336">
        <f>IF(COUNTIFS($A$5:$A$148,$A211,$C$5:$C$148,$B211,$E$5:$E$148,"是",$G$5:$G$148,"&gt;=0")=3,AVERAGEIFS($G$5:$G$148,$A$5:$A$148,$A211,$C$5:$C$148,$B211,$E$5:$E$148,"是"),"")</f>
        <v/>
      </c>
      <c r="E211" s="336">
        <f>IF(COUNTIFS($A$5:$A$148,$A211,$C$5:$C$148,$B211,$E$5:$E$148,"是",$H$5:$H$148,"&gt;=0")=3,AVERAGEIFS($H$5:$H$148,$A$5:$A$148,$A211,$C$5:$C$148,$B211,$E$5:$E$148,"是"),"")</f>
        <v/>
      </c>
      <c r="F211" s="336">
        <f>IF(COUNTIFS($A$5:$A$148,$A211,$C$5:$C$148,$B211,$E$5:$E$148,"是",$I$5:$I$148,"&gt;=0")=3,AVERAGEIFS($I$5:$I$148,$A$5:$A$148,$A211,$C$5:$C$148,$B211,$E$5:$E$148,"是"),"")</f>
        <v/>
      </c>
      <c r="G211" s="336">
        <f>IF(COUNTIFS($A$5:$A$148,$A211,$C$5:$C$148,$B211,$E$5:$E$148,"是",$J$5:$J$148,"&gt;=0")=3,AVERAGEIFS($J$5:$J$148,$A$5:$A$148,$A211,$C$5:$C$148,$B211,$E$5:$E$148,"是"),"")</f>
        <v/>
      </c>
      <c r="H211" s="336">
        <f>IF(COUNTIFS($A$5:$A$148,$A211,$C$5:$C$148,$B211,$E$5:$E$148,"是",$K$5:$K$148,"&gt;=0")=3,AVERAGEIFS($K$5:$K$148,$A$5:$A$148,$A211,$C$5:$C$148,$B211,$E$5:$E$148,"是"),"")</f>
        <v/>
      </c>
      <c r="I211" s="336">
        <f>IF(COUNTIFS($A$5:$A$148,$A211,$C$5:$C$148,$B211,$E$5:$E$148,"是",$L$5:$L$148,"&gt;=0")=3,AVERAGEIFS($L$5:$L$148,$A$5:$A$148,$A211,$C$5:$C$148,$B211,$E$5:$E$148,"是"),"")</f>
        <v/>
      </c>
      <c r="J211" s="336">
        <f>IF(COUNTIFS($A$5:$A$148,$A211,$C$5:$C$148,$B211,$E$5:$E$148,"是",$M$5:$M$148,"&gt;=0")=3,AVERAGEIFS($M$5:$M$148,$A$5:$A$148,$A211,$C$5:$C$148,$B211,$E$5:$E$148,"是"),"")</f>
        <v/>
      </c>
      <c r="K211" s="336">
        <f>IF(COUNTIFS($A$5:$A$148,$A211,$C$5:$C$148,$B211,$E$5:$E$148,"是",$N$5:$N$148,"&gt;=0")=3,AVERAGEIFS($N$5:$N$148,$A$5:$A$148,$A211,$C$5:$C$148,$B211,$E$5:$E$148,"是"),"")</f>
        <v/>
      </c>
      <c r="L211" s="336">
        <f>IF(COUNTIFS($A$152:$A$199,$A211,$B$152:$B$199,$B211,$D$152:$D$199,"是",$R$152:$R$199,"&gt;=0")=1,AVERAGEIFS($R$152:$R$199,$A$152:$A$199,$A211,$B$152:$B$199,$B211,$D$152:$D$199,"是"),"")</f>
        <v/>
      </c>
      <c r="M211" s="336">
        <f>IF(COUNTIFS($A$152:$A$199,$A211,$B$152:$B$199,$B211,$D$152:$D$199,"是",$S$152:$S$199,"&gt;=0")=1,AVERAGEIFS($S$152:$S$199,$A$152:$A$199,$A211,$B$152:$B$199,$B211,$D$152:$D$199,"是"),"")</f>
        <v/>
      </c>
      <c r="N211" s="336">
        <f>IF(COUNTIFS($A$152:$A$199,$A211,$B$152:$B$199,$B211,$D$152:$D$199,"是",$T$152:$T$199,"&gt;=0")=1,AVERAGEIFS($T$152:$T$199,$A$152:$A$199,$A211,$B$152:$B$199,$B211,$D$152:$D$199,"是"),"")</f>
        <v/>
      </c>
      <c r="O211" s="336">
        <f>IF(COUNTIFS($A$5:$A$148,$A211,$C$5:$C$148,$B211,$E$5:$E$148,"是",$O$5:$O$148,"&gt;=0")=3,AVERAGEIFS($O$5:$O$148,$A$5:$A$148,$A211,$C$5:$C$148,$B211,$E$5:$E$148,"是"),"")</f>
        <v/>
      </c>
      <c r="P211" s="336">
        <f>IF(COUNTIFS($A$5:$A$148,$A211,$C$5:$C$148,$B211,$E$5:$E$148,"是",$R$5:$R$148,"&gt;=0")=3,AVERAGEIFS($R$5:$R$148,$A$5:$A$148,$A211,$C$5:$C$148,$B211,$E$5:$E$148,"是"),"")</f>
        <v/>
      </c>
      <c r="Q211" s="336">
        <f>IF(COUNTIFS($A$5:$A$148,$A211,$C$5:$C$148,$B211,$E$5:$E$148,"是",$S$5:$S$148,"&gt;=0")=3,AVERAGEIFS($S$5:$S$148,$A$5:$A$148,$A211,$C$5:$C$148,$B211,$E$5:$E$148,"是"),"")</f>
        <v/>
      </c>
      <c r="R211" s="336">
        <f>IF(COUNTIFS($A$5:$A$148,$A211,$C$5:$C$148,$B211,$E$5:$E$148,"是",$T$5:$T$148,"&gt;=0")=3,AVERAGEIFS($T$5:$T$148,$A$5:$A$148,$A211,$C$5:$C$148,$B211,$E$5:$E$148,"是"),"")</f>
        <v/>
      </c>
      <c r="S211" s="336">
        <f>IF(COUNTIFS($A$5:$A$148,$A211,$C$5:$C$148,$B211,$E$5:$E$148,"是",$U$5:$U$148,"&gt;=0")=3,AVERAGEIFS($U$5:$U$148,$A$5:$A$148,$A211,$C$5:$C$148,$B211,$E$5:$E$148,"是"),"")</f>
        <v/>
      </c>
      <c r="T211" s="336">
        <f>IF(COUNTIFS($A$5:$A$148,$A211,$C$5:$C$148,$B211,$E$5:$E$148,"是",$V$5:$V$148,"&gt;=0")=3,AVERAGEIFS($V$5:$V$148,$A$5:$A$148,$A211,$C$5:$C$148,$B211,$E$5:$E$148,"是"),"")</f>
        <v/>
      </c>
      <c r="U211" s="336">
        <f>COUNTIFS($A$5:$A$148,$A211,$C$5:$C$148,$B211,$E$5:$E$148,"是")</f>
        <v/>
      </c>
    </row>
    <row r="212">
      <c r="A212" s="335">
        <f>Participants!A12</f>
        <v/>
      </c>
      <c r="B212" s="335" t="inlineStr">
        <is>
          <t>EgoAnchor</t>
        </is>
      </c>
      <c r="C212" s="336">
        <f>IF(COUNTIFS($A$5:$A$148,$A212,$C$5:$C$148,$B212,$E$5:$E$148,"是",$F$5:$F$148,"&gt;=0")=3,AVERAGEIFS($F$5:$F$148,$A$5:$A$148,$A212,$C$5:$C$148,$B212,$E$5:$E$148,"是"),"")</f>
        <v/>
      </c>
      <c r="D212" s="336">
        <f>IF(COUNTIFS($A$5:$A$148,$A212,$C$5:$C$148,$B212,$E$5:$E$148,"是",$G$5:$G$148,"&gt;=0")=3,AVERAGEIFS($G$5:$G$148,$A$5:$A$148,$A212,$C$5:$C$148,$B212,$E$5:$E$148,"是"),"")</f>
        <v/>
      </c>
      <c r="E212" s="336">
        <f>IF(COUNTIFS($A$5:$A$148,$A212,$C$5:$C$148,$B212,$E$5:$E$148,"是",$H$5:$H$148,"&gt;=0")=3,AVERAGEIFS($H$5:$H$148,$A$5:$A$148,$A212,$C$5:$C$148,$B212,$E$5:$E$148,"是"),"")</f>
        <v/>
      </c>
      <c r="F212" s="336">
        <f>IF(COUNTIFS($A$5:$A$148,$A212,$C$5:$C$148,$B212,$E$5:$E$148,"是",$I$5:$I$148,"&gt;=0")=3,AVERAGEIFS($I$5:$I$148,$A$5:$A$148,$A212,$C$5:$C$148,$B212,$E$5:$E$148,"是"),"")</f>
        <v/>
      </c>
      <c r="G212" s="336">
        <f>IF(COUNTIFS($A$5:$A$148,$A212,$C$5:$C$148,$B212,$E$5:$E$148,"是",$J$5:$J$148,"&gt;=0")=3,AVERAGEIFS($J$5:$J$148,$A$5:$A$148,$A212,$C$5:$C$148,$B212,$E$5:$E$148,"是"),"")</f>
        <v/>
      </c>
      <c r="H212" s="336">
        <f>IF(COUNTIFS($A$5:$A$148,$A212,$C$5:$C$148,$B212,$E$5:$E$148,"是",$K$5:$K$148,"&gt;=0")=3,AVERAGEIFS($K$5:$K$148,$A$5:$A$148,$A212,$C$5:$C$148,$B212,$E$5:$E$148,"是"),"")</f>
        <v/>
      </c>
      <c r="I212" s="336">
        <f>IF(COUNTIFS($A$5:$A$148,$A212,$C$5:$C$148,$B212,$E$5:$E$148,"是",$L$5:$L$148,"&gt;=0")=3,AVERAGEIFS($L$5:$L$148,$A$5:$A$148,$A212,$C$5:$C$148,$B212,$E$5:$E$148,"是"),"")</f>
        <v/>
      </c>
      <c r="J212" s="336">
        <f>IF(COUNTIFS($A$5:$A$148,$A212,$C$5:$C$148,$B212,$E$5:$E$148,"是",$M$5:$M$148,"&gt;=0")=3,AVERAGEIFS($M$5:$M$148,$A$5:$A$148,$A212,$C$5:$C$148,$B212,$E$5:$E$148,"是"),"")</f>
        <v/>
      </c>
      <c r="K212" s="336">
        <f>IF(COUNTIFS($A$5:$A$148,$A212,$C$5:$C$148,$B212,$E$5:$E$148,"是",$N$5:$N$148,"&gt;=0")=3,AVERAGEIFS($N$5:$N$148,$A$5:$A$148,$A212,$C$5:$C$148,$B212,$E$5:$E$148,"是"),"")</f>
        <v/>
      </c>
      <c r="L212" s="336">
        <f>IF(COUNTIFS($A$152:$A$199,$A212,$B$152:$B$199,$B212,$D$152:$D$199,"是",$R$152:$R$199,"&gt;=0")=1,AVERAGEIFS($R$152:$R$199,$A$152:$A$199,$A212,$B$152:$B$199,$B212,$D$152:$D$199,"是"),"")</f>
        <v/>
      </c>
      <c r="M212" s="336">
        <f>IF(COUNTIFS($A$152:$A$199,$A212,$B$152:$B$199,$B212,$D$152:$D$199,"是",$S$152:$S$199,"&gt;=0")=1,AVERAGEIFS($S$152:$S$199,$A$152:$A$199,$A212,$B$152:$B$199,$B212,$D$152:$D$199,"是"),"")</f>
        <v/>
      </c>
      <c r="N212" s="336">
        <f>IF(COUNTIFS($A$152:$A$199,$A212,$B$152:$B$199,$B212,$D$152:$D$199,"是",$T$152:$T$199,"&gt;=0")=1,AVERAGEIFS($T$152:$T$199,$A$152:$A$199,$A212,$B$152:$B$199,$B212,$D$152:$D$199,"是"),"")</f>
        <v/>
      </c>
      <c r="O212" s="336">
        <f>IF(COUNTIFS($A$5:$A$148,$A212,$C$5:$C$148,$B212,$E$5:$E$148,"是",$O$5:$O$148,"&gt;=0")=3,AVERAGEIFS($O$5:$O$148,$A$5:$A$148,$A212,$C$5:$C$148,$B212,$E$5:$E$148,"是"),"")</f>
        <v/>
      </c>
      <c r="P212" s="336">
        <f>IF(COUNTIFS($A$5:$A$148,$A212,$C$5:$C$148,$B212,$E$5:$E$148,"是",$R$5:$R$148,"&gt;=0")=3,AVERAGEIFS($R$5:$R$148,$A$5:$A$148,$A212,$C$5:$C$148,$B212,$E$5:$E$148,"是"),"")</f>
        <v/>
      </c>
      <c r="Q212" s="336">
        <f>IF(COUNTIFS($A$5:$A$148,$A212,$C$5:$C$148,$B212,$E$5:$E$148,"是",$S$5:$S$148,"&gt;=0")=3,AVERAGEIFS($S$5:$S$148,$A$5:$A$148,$A212,$C$5:$C$148,$B212,$E$5:$E$148,"是"),"")</f>
        <v/>
      </c>
      <c r="R212" s="336">
        <f>IF(COUNTIFS($A$5:$A$148,$A212,$C$5:$C$148,$B212,$E$5:$E$148,"是",$T$5:$T$148,"&gt;=0")=3,AVERAGEIFS($T$5:$T$148,$A$5:$A$148,$A212,$C$5:$C$148,$B212,$E$5:$E$148,"是"),"")</f>
        <v/>
      </c>
      <c r="S212" s="336">
        <f>IF(COUNTIFS($A$5:$A$148,$A212,$C$5:$C$148,$B212,$E$5:$E$148,"是",$U$5:$U$148,"&gt;=0")=3,AVERAGEIFS($U$5:$U$148,$A$5:$A$148,$A212,$C$5:$C$148,$B212,$E$5:$E$148,"是"),"")</f>
        <v/>
      </c>
      <c r="T212" s="336">
        <f>IF(COUNTIFS($A$5:$A$148,$A212,$C$5:$C$148,$B212,$E$5:$E$148,"是",$V$5:$V$148,"&gt;=0")=3,AVERAGEIFS($V$5:$V$148,$A$5:$A$148,$A212,$C$5:$C$148,$B212,$E$5:$E$148,"是"),"")</f>
        <v/>
      </c>
      <c r="U212" s="336">
        <f>COUNTIFS($A$5:$A$148,$A212,$C$5:$C$148,$B212,$E$5:$E$148,"是")</f>
        <v/>
      </c>
    </row>
    <row r="213">
      <c r="A213" s="335">
        <f>Participants!A13</f>
        <v/>
      </c>
      <c r="B213" s="335" t="inlineStr">
        <is>
          <t>EgoAnchor</t>
        </is>
      </c>
      <c r="C213" s="336">
        <f>IF(COUNTIFS($A$5:$A$148,$A213,$C$5:$C$148,$B213,$E$5:$E$148,"是",$F$5:$F$148,"&gt;=0")=3,AVERAGEIFS($F$5:$F$148,$A$5:$A$148,$A213,$C$5:$C$148,$B213,$E$5:$E$148,"是"),"")</f>
        <v/>
      </c>
      <c r="D213" s="336">
        <f>IF(COUNTIFS($A$5:$A$148,$A213,$C$5:$C$148,$B213,$E$5:$E$148,"是",$G$5:$G$148,"&gt;=0")=3,AVERAGEIFS($G$5:$G$148,$A$5:$A$148,$A213,$C$5:$C$148,$B213,$E$5:$E$148,"是"),"")</f>
        <v/>
      </c>
      <c r="E213" s="336">
        <f>IF(COUNTIFS($A$5:$A$148,$A213,$C$5:$C$148,$B213,$E$5:$E$148,"是",$H$5:$H$148,"&gt;=0")=3,AVERAGEIFS($H$5:$H$148,$A$5:$A$148,$A213,$C$5:$C$148,$B213,$E$5:$E$148,"是"),"")</f>
        <v/>
      </c>
      <c r="F213" s="336">
        <f>IF(COUNTIFS($A$5:$A$148,$A213,$C$5:$C$148,$B213,$E$5:$E$148,"是",$I$5:$I$148,"&gt;=0")=3,AVERAGEIFS($I$5:$I$148,$A$5:$A$148,$A213,$C$5:$C$148,$B213,$E$5:$E$148,"是"),"")</f>
        <v/>
      </c>
      <c r="G213" s="336">
        <f>IF(COUNTIFS($A$5:$A$148,$A213,$C$5:$C$148,$B213,$E$5:$E$148,"是",$J$5:$J$148,"&gt;=0")=3,AVERAGEIFS($J$5:$J$148,$A$5:$A$148,$A213,$C$5:$C$148,$B213,$E$5:$E$148,"是"),"")</f>
        <v/>
      </c>
      <c r="H213" s="336">
        <f>IF(COUNTIFS($A$5:$A$148,$A213,$C$5:$C$148,$B213,$E$5:$E$148,"是",$K$5:$K$148,"&gt;=0")=3,AVERAGEIFS($K$5:$K$148,$A$5:$A$148,$A213,$C$5:$C$148,$B213,$E$5:$E$148,"是"),"")</f>
        <v/>
      </c>
      <c r="I213" s="336">
        <f>IF(COUNTIFS($A$5:$A$148,$A213,$C$5:$C$148,$B213,$E$5:$E$148,"是",$L$5:$L$148,"&gt;=0")=3,AVERAGEIFS($L$5:$L$148,$A$5:$A$148,$A213,$C$5:$C$148,$B213,$E$5:$E$148,"是"),"")</f>
        <v/>
      </c>
      <c r="J213" s="336">
        <f>IF(COUNTIFS($A$5:$A$148,$A213,$C$5:$C$148,$B213,$E$5:$E$148,"是",$M$5:$M$148,"&gt;=0")=3,AVERAGEIFS($M$5:$M$148,$A$5:$A$148,$A213,$C$5:$C$148,$B213,$E$5:$E$148,"是"),"")</f>
        <v/>
      </c>
      <c r="K213" s="336">
        <f>IF(COUNTIFS($A$5:$A$148,$A213,$C$5:$C$148,$B213,$E$5:$E$148,"是",$N$5:$N$148,"&gt;=0")=3,AVERAGEIFS($N$5:$N$148,$A$5:$A$148,$A213,$C$5:$C$148,$B213,$E$5:$E$148,"是"),"")</f>
        <v/>
      </c>
      <c r="L213" s="336">
        <f>IF(COUNTIFS($A$152:$A$199,$A213,$B$152:$B$199,$B213,$D$152:$D$199,"是",$R$152:$R$199,"&gt;=0")=1,AVERAGEIFS($R$152:$R$199,$A$152:$A$199,$A213,$B$152:$B$199,$B213,$D$152:$D$199,"是"),"")</f>
        <v/>
      </c>
      <c r="M213" s="336">
        <f>IF(COUNTIFS($A$152:$A$199,$A213,$B$152:$B$199,$B213,$D$152:$D$199,"是",$S$152:$S$199,"&gt;=0")=1,AVERAGEIFS($S$152:$S$199,$A$152:$A$199,$A213,$B$152:$B$199,$B213,$D$152:$D$199,"是"),"")</f>
        <v/>
      </c>
      <c r="N213" s="336">
        <f>IF(COUNTIFS($A$152:$A$199,$A213,$B$152:$B$199,$B213,$D$152:$D$199,"是",$T$152:$T$199,"&gt;=0")=1,AVERAGEIFS($T$152:$T$199,$A$152:$A$199,$A213,$B$152:$B$199,$B213,$D$152:$D$199,"是"),"")</f>
        <v/>
      </c>
      <c r="O213" s="336">
        <f>IF(COUNTIFS($A$5:$A$148,$A213,$C$5:$C$148,$B213,$E$5:$E$148,"是",$O$5:$O$148,"&gt;=0")=3,AVERAGEIFS($O$5:$O$148,$A$5:$A$148,$A213,$C$5:$C$148,$B213,$E$5:$E$148,"是"),"")</f>
        <v/>
      </c>
      <c r="P213" s="336">
        <f>IF(COUNTIFS($A$5:$A$148,$A213,$C$5:$C$148,$B213,$E$5:$E$148,"是",$R$5:$R$148,"&gt;=0")=3,AVERAGEIFS($R$5:$R$148,$A$5:$A$148,$A213,$C$5:$C$148,$B213,$E$5:$E$148,"是"),"")</f>
        <v/>
      </c>
      <c r="Q213" s="336">
        <f>IF(COUNTIFS($A$5:$A$148,$A213,$C$5:$C$148,$B213,$E$5:$E$148,"是",$S$5:$S$148,"&gt;=0")=3,AVERAGEIFS($S$5:$S$148,$A$5:$A$148,$A213,$C$5:$C$148,$B213,$E$5:$E$148,"是"),"")</f>
        <v/>
      </c>
      <c r="R213" s="336">
        <f>IF(COUNTIFS($A$5:$A$148,$A213,$C$5:$C$148,$B213,$E$5:$E$148,"是",$T$5:$T$148,"&gt;=0")=3,AVERAGEIFS($T$5:$T$148,$A$5:$A$148,$A213,$C$5:$C$148,$B213,$E$5:$E$148,"是"),"")</f>
        <v/>
      </c>
      <c r="S213" s="336">
        <f>IF(COUNTIFS($A$5:$A$148,$A213,$C$5:$C$148,$B213,$E$5:$E$148,"是",$U$5:$U$148,"&gt;=0")=3,AVERAGEIFS($U$5:$U$148,$A$5:$A$148,$A213,$C$5:$C$148,$B213,$E$5:$E$148,"是"),"")</f>
        <v/>
      </c>
      <c r="T213" s="336">
        <f>IF(COUNTIFS($A$5:$A$148,$A213,$C$5:$C$148,$B213,$E$5:$E$148,"是",$V$5:$V$148,"&gt;=0")=3,AVERAGEIFS($V$5:$V$148,$A$5:$A$148,$A213,$C$5:$C$148,$B213,$E$5:$E$148,"是"),"")</f>
        <v/>
      </c>
      <c r="U213" s="336">
        <f>COUNTIFS($A$5:$A$148,$A213,$C$5:$C$148,$B213,$E$5:$E$148,"是")</f>
        <v/>
      </c>
    </row>
    <row r="214">
      <c r="A214" s="335">
        <f>Participants!A14</f>
        <v/>
      </c>
      <c r="B214" s="335" t="inlineStr">
        <is>
          <t>EgoAnchor</t>
        </is>
      </c>
      <c r="C214" s="336">
        <f>IF(COUNTIFS($A$5:$A$148,$A214,$C$5:$C$148,$B214,$E$5:$E$148,"是",$F$5:$F$148,"&gt;=0")=3,AVERAGEIFS($F$5:$F$148,$A$5:$A$148,$A214,$C$5:$C$148,$B214,$E$5:$E$148,"是"),"")</f>
        <v/>
      </c>
      <c r="D214" s="336">
        <f>IF(COUNTIFS($A$5:$A$148,$A214,$C$5:$C$148,$B214,$E$5:$E$148,"是",$G$5:$G$148,"&gt;=0")=3,AVERAGEIFS($G$5:$G$148,$A$5:$A$148,$A214,$C$5:$C$148,$B214,$E$5:$E$148,"是"),"")</f>
        <v/>
      </c>
      <c r="E214" s="336">
        <f>IF(COUNTIFS($A$5:$A$148,$A214,$C$5:$C$148,$B214,$E$5:$E$148,"是",$H$5:$H$148,"&gt;=0")=3,AVERAGEIFS($H$5:$H$148,$A$5:$A$148,$A214,$C$5:$C$148,$B214,$E$5:$E$148,"是"),"")</f>
        <v/>
      </c>
      <c r="F214" s="336">
        <f>IF(COUNTIFS($A$5:$A$148,$A214,$C$5:$C$148,$B214,$E$5:$E$148,"是",$I$5:$I$148,"&gt;=0")=3,AVERAGEIFS($I$5:$I$148,$A$5:$A$148,$A214,$C$5:$C$148,$B214,$E$5:$E$148,"是"),"")</f>
        <v/>
      </c>
      <c r="G214" s="336">
        <f>IF(COUNTIFS($A$5:$A$148,$A214,$C$5:$C$148,$B214,$E$5:$E$148,"是",$J$5:$J$148,"&gt;=0")=3,AVERAGEIFS($J$5:$J$148,$A$5:$A$148,$A214,$C$5:$C$148,$B214,$E$5:$E$148,"是"),"")</f>
        <v/>
      </c>
      <c r="H214" s="336">
        <f>IF(COUNTIFS($A$5:$A$148,$A214,$C$5:$C$148,$B214,$E$5:$E$148,"是",$K$5:$K$148,"&gt;=0")=3,AVERAGEIFS($K$5:$K$148,$A$5:$A$148,$A214,$C$5:$C$148,$B214,$E$5:$E$148,"是"),"")</f>
        <v/>
      </c>
      <c r="I214" s="336">
        <f>IF(COUNTIFS($A$5:$A$148,$A214,$C$5:$C$148,$B214,$E$5:$E$148,"是",$L$5:$L$148,"&gt;=0")=3,AVERAGEIFS($L$5:$L$148,$A$5:$A$148,$A214,$C$5:$C$148,$B214,$E$5:$E$148,"是"),"")</f>
        <v/>
      </c>
      <c r="J214" s="336">
        <f>IF(COUNTIFS($A$5:$A$148,$A214,$C$5:$C$148,$B214,$E$5:$E$148,"是",$M$5:$M$148,"&gt;=0")=3,AVERAGEIFS($M$5:$M$148,$A$5:$A$148,$A214,$C$5:$C$148,$B214,$E$5:$E$148,"是"),"")</f>
        <v/>
      </c>
      <c r="K214" s="336">
        <f>IF(COUNTIFS($A$5:$A$148,$A214,$C$5:$C$148,$B214,$E$5:$E$148,"是",$N$5:$N$148,"&gt;=0")=3,AVERAGEIFS($N$5:$N$148,$A$5:$A$148,$A214,$C$5:$C$148,$B214,$E$5:$E$148,"是"),"")</f>
        <v/>
      </c>
      <c r="L214" s="336">
        <f>IF(COUNTIFS($A$152:$A$199,$A214,$B$152:$B$199,$B214,$D$152:$D$199,"是",$R$152:$R$199,"&gt;=0")=1,AVERAGEIFS($R$152:$R$199,$A$152:$A$199,$A214,$B$152:$B$199,$B214,$D$152:$D$199,"是"),"")</f>
        <v/>
      </c>
      <c r="M214" s="336">
        <f>IF(COUNTIFS($A$152:$A$199,$A214,$B$152:$B$199,$B214,$D$152:$D$199,"是",$S$152:$S$199,"&gt;=0")=1,AVERAGEIFS($S$152:$S$199,$A$152:$A$199,$A214,$B$152:$B$199,$B214,$D$152:$D$199,"是"),"")</f>
        <v/>
      </c>
      <c r="N214" s="336">
        <f>IF(COUNTIFS($A$152:$A$199,$A214,$B$152:$B$199,$B214,$D$152:$D$199,"是",$T$152:$T$199,"&gt;=0")=1,AVERAGEIFS($T$152:$T$199,$A$152:$A$199,$A214,$B$152:$B$199,$B214,$D$152:$D$199,"是"),"")</f>
        <v/>
      </c>
      <c r="O214" s="336">
        <f>IF(COUNTIFS($A$5:$A$148,$A214,$C$5:$C$148,$B214,$E$5:$E$148,"是",$O$5:$O$148,"&gt;=0")=3,AVERAGEIFS($O$5:$O$148,$A$5:$A$148,$A214,$C$5:$C$148,$B214,$E$5:$E$148,"是"),"")</f>
        <v/>
      </c>
      <c r="P214" s="336">
        <f>IF(COUNTIFS($A$5:$A$148,$A214,$C$5:$C$148,$B214,$E$5:$E$148,"是",$R$5:$R$148,"&gt;=0")=3,AVERAGEIFS($R$5:$R$148,$A$5:$A$148,$A214,$C$5:$C$148,$B214,$E$5:$E$148,"是"),"")</f>
        <v/>
      </c>
      <c r="Q214" s="336">
        <f>IF(COUNTIFS($A$5:$A$148,$A214,$C$5:$C$148,$B214,$E$5:$E$148,"是",$S$5:$S$148,"&gt;=0")=3,AVERAGEIFS($S$5:$S$148,$A$5:$A$148,$A214,$C$5:$C$148,$B214,$E$5:$E$148,"是"),"")</f>
        <v/>
      </c>
      <c r="R214" s="336">
        <f>IF(COUNTIFS($A$5:$A$148,$A214,$C$5:$C$148,$B214,$E$5:$E$148,"是",$T$5:$T$148,"&gt;=0")=3,AVERAGEIFS($T$5:$T$148,$A$5:$A$148,$A214,$C$5:$C$148,$B214,$E$5:$E$148,"是"),"")</f>
        <v/>
      </c>
      <c r="S214" s="336">
        <f>IF(COUNTIFS($A$5:$A$148,$A214,$C$5:$C$148,$B214,$E$5:$E$148,"是",$U$5:$U$148,"&gt;=0")=3,AVERAGEIFS($U$5:$U$148,$A$5:$A$148,$A214,$C$5:$C$148,$B214,$E$5:$E$148,"是"),"")</f>
        <v/>
      </c>
      <c r="T214" s="336">
        <f>IF(COUNTIFS($A$5:$A$148,$A214,$C$5:$C$148,$B214,$E$5:$E$148,"是",$V$5:$V$148,"&gt;=0")=3,AVERAGEIFS($V$5:$V$148,$A$5:$A$148,$A214,$C$5:$C$148,$B214,$E$5:$E$148,"是"),"")</f>
        <v/>
      </c>
      <c r="U214" s="336">
        <f>COUNTIFS($A$5:$A$148,$A214,$C$5:$C$148,$B214,$E$5:$E$148,"是")</f>
        <v/>
      </c>
    </row>
    <row r="215">
      <c r="A215" s="335">
        <f>Participants!A15</f>
        <v/>
      </c>
      <c r="B215" s="335" t="inlineStr">
        <is>
          <t>EgoAnchor</t>
        </is>
      </c>
      <c r="C215" s="336">
        <f>IF(COUNTIFS($A$5:$A$148,$A215,$C$5:$C$148,$B215,$E$5:$E$148,"是",$F$5:$F$148,"&gt;=0")=3,AVERAGEIFS($F$5:$F$148,$A$5:$A$148,$A215,$C$5:$C$148,$B215,$E$5:$E$148,"是"),"")</f>
        <v/>
      </c>
      <c r="D215" s="336">
        <f>IF(COUNTIFS($A$5:$A$148,$A215,$C$5:$C$148,$B215,$E$5:$E$148,"是",$G$5:$G$148,"&gt;=0")=3,AVERAGEIFS($G$5:$G$148,$A$5:$A$148,$A215,$C$5:$C$148,$B215,$E$5:$E$148,"是"),"")</f>
        <v/>
      </c>
      <c r="E215" s="336">
        <f>IF(COUNTIFS($A$5:$A$148,$A215,$C$5:$C$148,$B215,$E$5:$E$148,"是",$H$5:$H$148,"&gt;=0")=3,AVERAGEIFS($H$5:$H$148,$A$5:$A$148,$A215,$C$5:$C$148,$B215,$E$5:$E$148,"是"),"")</f>
        <v/>
      </c>
      <c r="F215" s="336">
        <f>IF(COUNTIFS($A$5:$A$148,$A215,$C$5:$C$148,$B215,$E$5:$E$148,"是",$I$5:$I$148,"&gt;=0")=3,AVERAGEIFS($I$5:$I$148,$A$5:$A$148,$A215,$C$5:$C$148,$B215,$E$5:$E$148,"是"),"")</f>
        <v/>
      </c>
      <c r="G215" s="336">
        <f>IF(COUNTIFS($A$5:$A$148,$A215,$C$5:$C$148,$B215,$E$5:$E$148,"是",$J$5:$J$148,"&gt;=0")=3,AVERAGEIFS($J$5:$J$148,$A$5:$A$148,$A215,$C$5:$C$148,$B215,$E$5:$E$148,"是"),"")</f>
        <v/>
      </c>
      <c r="H215" s="336">
        <f>IF(COUNTIFS($A$5:$A$148,$A215,$C$5:$C$148,$B215,$E$5:$E$148,"是",$K$5:$K$148,"&gt;=0")=3,AVERAGEIFS($K$5:$K$148,$A$5:$A$148,$A215,$C$5:$C$148,$B215,$E$5:$E$148,"是"),"")</f>
        <v/>
      </c>
      <c r="I215" s="336">
        <f>IF(COUNTIFS($A$5:$A$148,$A215,$C$5:$C$148,$B215,$E$5:$E$148,"是",$L$5:$L$148,"&gt;=0")=3,AVERAGEIFS($L$5:$L$148,$A$5:$A$148,$A215,$C$5:$C$148,$B215,$E$5:$E$148,"是"),"")</f>
        <v/>
      </c>
      <c r="J215" s="336">
        <f>IF(COUNTIFS($A$5:$A$148,$A215,$C$5:$C$148,$B215,$E$5:$E$148,"是",$M$5:$M$148,"&gt;=0")=3,AVERAGEIFS($M$5:$M$148,$A$5:$A$148,$A215,$C$5:$C$148,$B215,$E$5:$E$148,"是"),"")</f>
        <v/>
      </c>
      <c r="K215" s="336">
        <f>IF(COUNTIFS($A$5:$A$148,$A215,$C$5:$C$148,$B215,$E$5:$E$148,"是",$N$5:$N$148,"&gt;=0")=3,AVERAGEIFS($N$5:$N$148,$A$5:$A$148,$A215,$C$5:$C$148,$B215,$E$5:$E$148,"是"),"")</f>
        <v/>
      </c>
      <c r="L215" s="336">
        <f>IF(COUNTIFS($A$152:$A$199,$A215,$B$152:$B$199,$B215,$D$152:$D$199,"是",$R$152:$R$199,"&gt;=0")=1,AVERAGEIFS($R$152:$R$199,$A$152:$A$199,$A215,$B$152:$B$199,$B215,$D$152:$D$199,"是"),"")</f>
        <v/>
      </c>
      <c r="M215" s="336">
        <f>IF(COUNTIFS($A$152:$A$199,$A215,$B$152:$B$199,$B215,$D$152:$D$199,"是",$S$152:$S$199,"&gt;=0")=1,AVERAGEIFS($S$152:$S$199,$A$152:$A$199,$A215,$B$152:$B$199,$B215,$D$152:$D$199,"是"),"")</f>
        <v/>
      </c>
      <c r="N215" s="336">
        <f>IF(COUNTIFS($A$152:$A$199,$A215,$B$152:$B$199,$B215,$D$152:$D$199,"是",$T$152:$T$199,"&gt;=0")=1,AVERAGEIFS($T$152:$T$199,$A$152:$A$199,$A215,$B$152:$B$199,$B215,$D$152:$D$199,"是"),"")</f>
        <v/>
      </c>
      <c r="O215" s="336">
        <f>IF(COUNTIFS($A$5:$A$148,$A215,$C$5:$C$148,$B215,$E$5:$E$148,"是",$O$5:$O$148,"&gt;=0")=3,AVERAGEIFS($O$5:$O$148,$A$5:$A$148,$A215,$C$5:$C$148,$B215,$E$5:$E$148,"是"),"")</f>
        <v/>
      </c>
      <c r="P215" s="336">
        <f>IF(COUNTIFS($A$5:$A$148,$A215,$C$5:$C$148,$B215,$E$5:$E$148,"是",$R$5:$R$148,"&gt;=0")=3,AVERAGEIFS($R$5:$R$148,$A$5:$A$148,$A215,$C$5:$C$148,$B215,$E$5:$E$148,"是"),"")</f>
        <v/>
      </c>
      <c r="Q215" s="336">
        <f>IF(COUNTIFS($A$5:$A$148,$A215,$C$5:$C$148,$B215,$E$5:$E$148,"是",$S$5:$S$148,"&gt;=0")=3,AVERAGEIFS($S$5:$S$148,$A$5:$A$148,$A215,$C$5:$C$148,$B215,$E$5:$E$148,"是"),"")</f>
        <v/>
      </c>
      <c r="R215" s="336">
        <f>IF(COUNTIFS($A$5:$A$148,$A215,$C$5:$C$148,$B215,$E$5:$E$148,"是",$T$5:$T$148,"&gt;=0")=3,AVERAGEIFS($T$5:$T$148,$A$5:$A$148,$A215,$C$5:$C$148,$B215,$E$5:$E$148,"是"),"")</f>
        <v/>
      </c>
      <c r="S215" s="336">
        <f>IF(COUNTIFS($A$5:$A$148,$A215,$C$5:$C$148,$B215,$E$5:$E$148,"是",$U$5:$U$148,"&gt;=0")=3,AVERAGEIFS($U$5:$U$148,$A$5:$A$148,$A215,$C$5:$C$148,$B215,$E$5:$E$148,"是"),"")</f>
        <v/>
      </c>
      <c r="T215" s="336">
        <f>IF(COUNTIFS($A$5:$A$148,$A215,$C$5:$C$148,$B215,$E$5:$E$148,"是",$V$5:$V$148,"&gt;=0")=3,AVERAGEIFS($V$5:$V$148,$A$5:$A$148,$A215,$C$5:$C$148,$B215,$E$5:$E$148,"是"),"")</f>
        <v/>
      </c>
      <c r="U215" s="336">
        <f>COUNTIFS($A$5:$A$148,$A215,$C$5:$C$148,$B215,$E$5:$E$148,"是")</f>
        <v/>
      </c>
    </row>
    <row r="216">
      <c r="A216" s="335">
        <f>Participants!A16</f>
        <v/>
      </c>
      <c r="B216" s="335" t="inlineStr">
        <is>
          <t>EgoAnchor</t>
        </is>
      </c>
      <c r="C216" s="336">
        <f>IF(COUNTIFS($A$5:$A$148,$A216,$C$5:$C$148,$B216,$E$5:$E$148,"是",$F$5:$F$148,"&gt;=0")=3,AVERAGEIFS($F$5:$F$148,$A$5:$A$148,$A216,$C$5:$C$148,$B216,$E$5:$E$148,"是"),"")</f>
        <v/>
      </c>
      <c r="D216" s="336">
        <f>IF(COUNTIFS($A$5:$A$148,$A216,$C$5:$C$148,$B216,$E$5:$E$148,"是",$G$5:$G$148,"&gt;=0")=3,AVERAGEIFS($G$5:$G$148,$A$5:$A$148,$A216,$C$5:$C$148,$B216,$E$5:$E$148,"是"),"")</f>
        <v/>
      </c>
      <c r="E216" s="336">
        <f>IF(COUNTIFS($A$5:$A$148,$A216,$C$5:$C$148,$B216,$E$5:$E$148,"是",$H$5:$H$148,"&gt;=0")=3,AVERAGEIFS($H$5:$H$148,$A$5:$A$148,$A216,$C$5:$C$148,$B216,$E$5:$E$148,"是"),"")</f>
        <v/>
      </c>
      <c r="F216" s="336">
        <f>IF(COUNTIFS($A$5:$A$148,$A216,$C$5:$C$148,$B216,$E$5:$E$148,"是",$I$5:$I$148,"&gt;=0")=3,AVERAGEIFS($I$5:$I$148,$A$5:$A$148,$A216,$C$5:$C$148,$B216,$E$5:$E$148,"是"),"")</f>
        <v/>
      </c>
      <c r="G216" s="336">
        <f>IF(COUNTIFS($A$5:$A$148,$A216,$C$5:$C$148,$B216,$E$5:$E$148,"是",$J$5:$J$148,"&gt;=0")=3,AVERAGEIFS($J$5:$J$148,$A$5:$A$148,$A216,$C$5:$C$148,$B216,$E$5:$E$148,"是"),"")</f>
        <v/>
      </c>
      <c r="H216" s="336">
        <f>IF(COUNTIFS($A$5:$A$148,$A216,$C$5:$C$148,$B216,$E$5:$E$148,"是",$K$5:$K$148,"&gt;=0")=3,AVERAGEIFS($K$5:$K$148,$A$5:$A$148,$A216,$C$5:$C$148,$B216,$E$5:$E$148,"是"),"")</f>
        <v/>
      </c>
      <c r="I216" s="336">
        <f>IF(COUNTIFS($A$5:$A$148,$A216,$C$5:$C$148,$B216,$E$5:$E$148,"是",$L$5:$L$148,"&gt;=0")=3,AVERAGEIFS($L$5:$L$148,$A$5:$A$148,$A216,$C$5:$C$148,$B216,$E$5:$E$148,"是"),"")</f>
        <v/>
      </c>
      <c r="J216" s="336">
        <f>IF(COUNTIFS($A$5:$A$148,$A216,$C$5:$C$148,$B216,$E$5:$E$148,"是",$M$5:$M$148,"&gt;=0")=3,AVERAGEIFS($M$5:$M$148,$A$5:$A$148,$A216,$C$5:$C$148,$B216,$E$5:$E$148,"是"),"")</f>
        <v/>
      </c>
      <c r="K216" s="336">
        <f>IF(COUNTIFS($A$5:$A$148,$A216,$C$5:$C$148,$B216,$E$5:$E$148,"是",$N$5:$N$148,"&gt;=0")=3,AVERAGEIFS($N$5:$N$148,$A$5:$A$148,$A216,$C$5:$C$148,$B216,$E$5:$E$148,"是"),"")</f>
        <v/>
      </c>
      <c r="L216" s="336">
        <f>IF(COUNTIFS($A$152:$A$199,$A216,$B$152:$B$199,$B216,$D$152:$D$199,"是",$R$152:$R$199,"&gt;=0")=1,AVERAGEIFS($R$152:$R$199,$A$152:$A$199,$A216,$B$152:$B$199,$B216,$D$152:$D$199,"是"),"")</f>
        <v/>
      </c>
      <c r="M216" s="336">
        <f>IF(COUNTIFS($A$152:$A$199,$A216,$B$152:$B$199,$B216,$D$152:$D$199,"是",$S$152:$S$199,"&gt;=0")=1,AVERAGEIFS($S$152:$S$199,$A$152:$A$199,$A216,$B$152:$B$199,$B216,$D$152:$D$199,"是"),"")</f>
        <v/>
      </c>
      <c r="N216" s="336">
        <f>IF(COUNTIFS($A$152:$A$199,$A216,$B$152:$B$199,$B216,$D$152:$D$199,"是",$T$152:$T$199,"&gt;=0")=1,AVERAGEIFS($T$152:$T$199,$A$152:$A$199,$A216,$B$152:$B$199,$B216,$D$152:$D$199,"是"),"")</f>
        <v/>
      </c>
      <c r="O216" s="336">
        <f>IF(COUNTIFS($A$5:$A$148,$A216,$C$5:$C$148,$B216,$E$5:$E$148,"是",$O$5:$O$148,"&gt;=0")=3,AVERAGEIFS($O$5:$O$148,$A$5:$A$148,$A216,$C$5:$C$148,$B216,$E$5:$E$148,"是"),"")</f>
        <v/>
      </c>
      <c r="P216" s="336">
        <f>IF(COUNTIFS($A$5:$A$148,$A216,$C$5:$C$148,$B216,$E$5:$E$148,"是",$R$5:$R$148,"&gt;=0")=3,AVERAGEIFS($R$5:$R$148,$A$5:$A$148,$A216,$C$5:$C$148,$B216,$E$5:$E$148,"是"),"")</f>
        <v/>
      </c>
      <c r="Q216" s="336">
        <f>IF(COUNTIFS($A$5:$A$148,$A216,$C$5:$C$148,$B216,$E$5:$E$148,"是",$S$5:$S$148,"&gt;=0")=3,AVERAGEIFS($S$5:$S$148,$A$5:$A$148,$A216,$C$5:$C$148,$B216,$E$5:$E$148,"是"),"")</f>
        <v/>
      </c>
      <c r="R216" s="336">
        <f>IF(COUNTIFS($A$5:$A$148,$A216,$C$5:$C$148,$B216,$E$5:$E$148,"是",$T$5:$T$148,"&gt;=0")=3,AVERAGEIFS($T$5:$T$148,$A$5:$A$148,$A216,$C$5:$C$148,$B216,$E$5:$E$148,"是"),"")</f>
        <v/>
      </c>
      <c r="S216" s="336">
        <f>IF(COUNTIFS($A$5:$A$148,$A216,$C$5:$C$148,$B216,$E$5:$E$148,"是",$U$5:$U$148,"&gt;=0")=3,AVERAGEIFS($U$5:$U$148,$A$5:$A$148,$A216,$C$5:$C$148,$B216,$E$5:$E$148,"是"),"")</f>
        <v/>
      </c>
      <c r="T216" s="336">
        <f>IF(COUNTIFS($A$5:$A$148,$A216,$C$5:$C$148,$B216,$E$5:$E$148,"是",$V$5:$V$148,"&gt;=0")=3,AVERAGEIFS($V$5:$V$148,$A$5:$A$148,$A216,$C$5:$C$148,$B216,$E$5:$E$148,"是"),"")</f>
        <v/>
      </c>
      <c r="U216" s="336">
        <f>COUNTIFS($A$5:$A$148,$A216,$C$5:$C$148,$B216,$E$5:$E$148,"是")</f>
        <v/>
      </c>
    </row>
    <row r="217">
      <c r="A217" s="335">
        <f>Participants!A17</f>
        <v/>
      </c>
      <c r="B217" s="335" t="inlineStr">
        <is>
          <t>EgoAnchor</t>
        </is>
      </c>
      <c r="C217" s="336">
        <f>IF(COUNTIFS($A$5:$A$148,$A217,$C$5:$C$148,$B217,$E$5:$E$148,"是",$F$5:$F$148,"&gt;=0")=3,AVERAGEIFS($F$5:$F$148,$A$5:$A$148,$A217,$C$5:$C$148,$B217,$E$5:$E$148,"是"),"")</f>
        <v/>
      </c>
      <c r="D217" s="336">
        <f>IF(COUNTIFS($A$5:$A$148,$A217,$C$5:$C$148,$B217,$E$5:$E$148,"是",$G$5:$G$148,"&gt;=0")=3,AVERAGEIFS($G$5:$G$148,$A$5:$A$148,$A217,$C$5:$C$148,$B217,$E$5:$E$148,"是"),"")</f>
        <v/>
      </c>
      <c r="E217" s="336">
        <f>IF(COUNTIFS($A$5:$A$148,$A217,$C$5:$C$148,$B217,$E$5:$E$148,"是",$H$5:$H$148,"&gt;=0")=3,AVERAGEIFS($H$5:$H$148,$A$5:$A$148,$A217,$C$5:$C$148,$B217,$E$5:$E$148,"是"),"")</f>
        <v/>
      </c>
      <c r="F217" s="336">
        <f>IF(COUNTIFS($A$5:$A$148,$A217,$C$5:$C$148,$B217,$E$5:$E$148,"是",$I$5:$I$148,"&gt;=0")=3,AVERAGEIFS($I$5:$I$148,$A$5:$A$148,$A217,$C$5:$C$148,$B217,$E$5:$E$148,"是"),"")</f>
        <v/>
      </c>
      <c r="G217" s="336">
        <f>IF(COUNTIFS($A$5:$A$148,$A217,$C$5:$C$148,$B217,$E$5:$E$148,"是",$J$5:$J$148,"&gt;=0")=3,AVERAGEIFS($J$5:$J$148,$A$5:$A$148,$A217,$C$5:$C$148,$B217,$E$5:$E$148,"是"),"")</f>
        <v/>
      </c>
      <c r="H217" s="336">
        <f>IF(COUNTIFS($A$5:$A$148,$A217,$C$5:$C$148,$B217,$E$5:$E$148,"是",$K$5:$K$148,"&gt;=0")=3,AVERAGEIFS($K$5:$K$148,$A$5:$A$148,$A217,$C$5:$C$148,$B217,$E$5:$E$148,"是"),"")</f>
        <v/>
      </c>
      <c r="I217" s="336">
        <f>IF(COUNTIFS($A$5:$A$148,$A217,$C$5:$C$148,$B217,$E$5:$E$148,"是",$L$5:$L$148,"&gt;=0")=3,AVERAGEIFS($L$5:$L$148,$A$5:$A$148,$A217,$C$5:$C$148,$B217,$E$5:$E$148,"是"),"")</f>
        <v/>
      </c>
      <c r="J217" s="336">
        <f>IF(COUNTIFS($A$5:$A$148,$A217,$C$5:$C$148,$B217,$E$5:$E$148,"是",$M$5:$M$148,"&gt;=0")=3,AVERAGEIFS($M$5:$M$148,$A$5:$A$148,$A217,$C$5:$C$148,$B217,$E$5:$E$148,"是"),"")</f>
        <v/>
      </c>
      <c r="K217" s="336">
        <f>IF(COUNTIFS($A$5:$A$148,$A217,$C$5:$C$148,$B217,$E$5:$E$148,"是",$N$5:$N$148,"&gt;=0")=3,AVERAGEIFS($N$5:$N$148,$A$5:$A$148,$A217,$C$5:$C$148,$B217,$E$5:$E$148,"是"),"")</f>
        <v/>
      </c>
      <c r="L217" s="336">
        <f>IF(COUNTIFS($A$152:$A$199,$A217,$B$152:$B$199,$B217,$D$152:$D$199,"是",$R$152:$R$199,"&gt;=0")=1,AVERAGEIFS($R$152:$R$199,$A$152:$A$199,$A217,$B$152:$B$199,$B217,$D$152:$D$199,"是"),"")</f>
        <v/>
      </c>
      <c r="M217" s="336">
        <f>IF(COUNTIFS($A$152:$A$199,$A217,$B$152:$B$199,$B217,$D$152:$D$199,"是",$S$152:$S$199,"&gt;=0")=1,AVERAGEIFS($S$152:$S$199,$A$152:$A$199,$A217,$B$152:$B$199,$B217,$D$152:$D$199,"是"),"")</f>
        <v/>
      </c>
      <c r="N217" s="336">
        <f>IF(COUNTIFS($A$152:$A$199,$A217,$B$152:$B$199,$B217,$D$152:$D$199,"是",$T$152:$T$199,"&gt;=0")=1,AVERAGEIFS($T$152:$T$199,$A$152:$A$199,$A217,$B$152:$B$199,$B217,$D$152:$D$199,"是"),"")</f>
        <v/>
      </c>
      <c r="O217" s="336">
        <f>IF(COUNTIFS($A$5:$A$148,$A217,$C$5:$C$148,$B217,$E$5:$E$148,"是",$O$5:$O$148,"&gt;=0")=3,AVERAGEIFS($O$5:$O$148,$A$5:$A$148,$A217,$C$5:$C$148,$B217,$E$5:$E$148,"是"),"")</f>
        <v/>
      </c>
      <c r="P217" s="336">
        <f>IF(COUNTIFS($A$5:$A$148,$A217,$C$5:$C$148,$B217,$E$5:$E$148,"是",$R$5:$R$148,"&gt;=0")=3,AVERAGEIFS($R$5:$R$148,$A$5:$A$148,$A217,$C$5:$C$148,$B217,$E$5:$E$148,"是"),"")</f>
        <v/>
      </c>
      <c r="Q217" s="336">
        <f>IF(COUNTIFS($A$5:$A$148,$A217,$C$5:$C$148,$B217,$E$5:$E$148,"是",$S$5:$S$148,"&gt;=0")=3,AVERAGEIFS($S$5:$S$148,$A$5:$A$148,$A217,$C$5:$C$148,$B217,$E$5:$E$148,"是"),"")</f>
        <v/>
      </c>
      <c r="R217" s="336">
        <f>IF(COUNTIFS($A$5:$A$148,$A217,$C$5:$C$148,$B217,$E$5:$E$148,"是",$T$5:$T$148,"&gt;=0")=3,AVERAGEIFS($T$5:$T$148,$A$5:$A$148,$A217,$C$5:$C$148,$B217,$E$5:$E$148,"是"),"")</f>
        <v/>
      </c>
      <c r="S217" s="336">
        <f>IF(COUNTIFS($A$5:$A$148,$A217,$C$5:$C$148,$B217,$E$5:$E$148,"是",$U$5:$U$148,"&gt;=0")=3,AVERAGEIFS($U$5:$U$148,$A$5:$A$148,$A217,$C$5:$C$148,$B217,$E$5:$E$148,"是"),"")</f>
        <v/>
      </c>
      <c r="T217" s="336">
        <f>IF(COUNTIFS($A$5:$A$148,$A217,$C$5:$C$148,$B217,$E$5:$E$148,"是",$V$5:$V$148,"&gt;=0")=3,AVERAGEIFS($V$5:$V$148,$A$5:$A$148,$A217,$C$5:$C$148,$B217,$E$5:$E$148,"是"),"")</f>
        <v/>
      </c>
      <c r="U217" s="336">
        <f>COUNTIFS($A$5:$A$148,$A217,$C$5:$C$148,$B217,$E$5:$E$148,"是")</f>
        <v/>
      </c>
    </row>
    <row r="218">
      <c r="A218" s="335">
        <f>Participants!A18</f>
        <v/>
      </c>
      <c r="B218" s="335" t="inlineStr">
        <is>
          <t>EgoAnchor</t>
        </is>
      </c>
      <c r="C218" s="336">
        <f>IF(COUNTIFS($A$5:$A$148,$A218,$C$5:$C$148,$B218,$E$5:$E$148,"是",$F$5:$F$148,"&gt;=0")=3,AVERAGEIFS($F$5:$F$148,$A$5:$A$148,$A218,$C$5:$C$148,$B218,$E$5:$E$148,"是"),"")</f>
        <v/>
      </c>
      <c r="D218" s="336">
        <f>IF(COUNTIFS($A$5:$A$148,$A218,$C$5:$C$148,$B218,$E$5:$E$148,"是",$G$5:$G$148,"&gt;=0")=3,AVERAGEIFS($G$5:$G$148,$A$5:$A$148,$A218,$C$5:$C$148,$B218,$E$5:$E$148,"是"),"")</f>
        <v/>
      </c>
      <c r="E218" s="336">
        <f>IF(COUNTIFS($A$5:$A$148,$A218,$C$5:$C$148,$B218,$E$5:$E$148,"是",$H$5:$H$148,"&gt;=0")=3,AVERAGEIFS($H$5:$H$148,$A$5:$A$148,$A218,$C$5:$C$148,$B218,$E$5:$E$148,"是"),"")</f>
        <v/>
      </c>
      <c r="F218" s="336">
        <f>IF(COUNTIFS($A$5:$A$148,$A218,$C$5:$C$148,$B218,$E$5:$E$148,"是",$I$5:$I$148,"&gt;=0")=3,AVERAGEIFS($I$5:$I$148,$A$5:$A$148,$A218,$C$5:$C$148,$B218,$E$5:$E$148,"是"),"")</f>
        <v/>
      </c>
      <c r="G218" s="336">
        <f>IF(COUNTIFS($A$5:$A$148,$A218,$C$5:$C$148,$B218,$E$5:$E$148,"是",$J$5:$J$148,"&gt;=0")=3,AVERAGEIFS($J$5:$J$148,$A$5:$A$148,$A218,$C$5:$C$148,$B218,$E$5:$E$148,"是"),"")</f>
        <v/>
      </c>
      <c r="H218" s="336">
        <f>IF(COUNTIFS($A$5:$A$148,$A218,$C$5:$C$148,$B218,$E$5:$E$148,"是",$K$5:$K$148,"&gt;=0")=3,AVERAGEIFS($K$5:$K$148,$A$5:$A$148,$A218,$C$5:$C$148,$B218,$E$5:$E$148,"是"),"")</f>
        <v/>
      </c>
      <c r="I218" s="336">
        <f>IF(COUNTIFS($A$5:$A$148,$A218,$C$5:$C$148,$B218,$E$5:$E$148,"是",$L$5:$L$148,"&gt;=0")=3,AVERAGEIFS($L$5:$L$148,$A$5:$A$148,$A218,$C$5:$C$148,$B218,$E$5:$E$148,"是"),"")</f>
        <v/>
      </c>
      <c r="J218" s="336">
        <f>IF(COUNTIFS($A$5:$A$148,$A218,$C$5:$C$148,$B218,$E$5:$E$148,"是",$M$5:$M$148,"&gt;=0")=3,AVERAGEIFS($M$5:$M$148,$A$5:$A$148,$A218,$C$5:$C$148,$B218,$E$5:$E$148,"是"),"")</f>
        <v/>
      </c>
      <c r="K218" s="336">
        <f>IF(COUNTIFS($A$5:$A$148,$A218,$C$5:$C$148,$B218,$E$5:$E$148,"是",$N$5:$N$148,"&gt;=0")=3,AVERAGEIFS($N$5:$N$148,$A$5:$A$148,$A218,$C$5:$C$148,$B218,$E$5:$E$148,"是"),"")</f>
        <v/>
      </c>
      <c r="L218" s="336">
        <f>IF(COUNTIFS($A$152:$A$199,$A218,$B$152:$B$199,$B218,$D$152:$D$199,"是",$R$152:$R$199,"&gt;=0")=1,AVERAGEIFS($R$152:$R$199,$A$152:$A$199,$A218,$B$152:$B$199,$B218,$D$152:$D$199,"是"),"")</f>
        <v/>
      </c>
      <c r="M218" s="336">
        <f>IF(COUNTIFS($A$152:$A$199,$A218,$B$152:$B$199,$B218,$D$152:$D$199,"是",$S$152:$S$199,"&gt;=0")=1,AVERAGEIFS($S$152:$S$199,$A$152:$A$199,$A218,$B$152:$B$199,$B218,$D$152:$D$199,"是"),"")</f>
        <v/>
      </c>
      <c r="N218" s="336">
        <f>IF(COUNTIFS($A$152:$A$199,$A218,$B$152:$B$199,$B218,$D$152:$D$199,"是",$T$152:$T$199,"&gt;=0")=1,AVERAGEIFS($T$152:$T$199,$A$152:$A$199,$A218,$B$152:$B$199,$B218,$D$152:$D$199,"是"),"")</f>
        <v/>
      </c>
      <c r="O218" s="336">
        <f>IF(COUNTIFS($A$5:$A$148,$A218,$C$5:$C$148,$B218,$E$5:$E$148,"是",$O$5:$O$148,"&gt;=0")=3,AVERAGEIFS($O$5:$O$148,$A$5:$A$148,$A218,$C$5:$C$148,$B218,$E$5:$E$148,"是"),"")</f>
        <v/>
      </c>
      <c r="P218" s="336">
        <f>IF(COUNTIFS($A$5:$A$148,$A218,$C$5:$C$148,$B218,$E$5:$E$148,"是",$R$5:$R$148,"&gt;=0")=3,AVERAGEIFS($R$5:$R$148,$A$5:$A$148,$A218,$C$5:$C$148,$B218,$E$5:$E$148,"是"),"")</f>
        <v/>
      </c>
      <c r="Q218" s="336">
        <f>IF(COUNTIFS($A$5:$A$148,$A218,$C$5:$C$148,$B218,$E$5:$E$148,"是",$S$5:$S$148,"&gt;=0")=3,AVERAGEIFS($S$5:$S$148,$A$5:$A$148,$A218,$C$5:$C$148,$B218,$E$5:$E$148,"是"),"")</f>
        <v/>
      </c>
      <c r="R218" s="336">
        <f>IF(COUNTIFS($A$5:$A$148,$A218,$C$5:$C$148,$B218,$E$5:$E$148,"是",$T$5:$T$148,"&gt;=0")=3,AVERAGEIFS($T$5:$T$148,$A$5:$A$148,$A218,$C$5:$C$148,$B218,$E$5:$E$148,"是"),"")</f>
        <v/>
      </c>
      <c r="S218" s="336">
        <f>IF(COUNTIFS($A$5:$A$148,$A218,$C$5:$C$148,$B218,$E$5:$E$148,"是",$U$5:$U$148,"&gt;=0")=3,AVERAGEIFS($U$5:$U$148,$A$5:$A$148,$A218,$C$5:$C$148,$B218,$E$5:$E$148,"是"),"")</f>
        <v/>
      </c>
      <c r="T218" s="336">
        <f>IF(COUNTIFS($A$5:$A$148,$A218,$C$5:$C$148,$B218,$E$5:$E$148,"是",$V$5:$V$148,"&gt;=0")=3,AVERAGEIFS($V$5:$V$148,$A$5:$A$148,$A218,$C$5:$C$148,$B218,$E$5:$E$148,"是"),"")</f>
        <v/>
      </c>
      <c r="U218" s="336">
        <f>COUNTIFS($A$5:$A$148,$A218,$C$5:$C$148,$B218,$E$5:$E$148,"是")</f>
        <v/>
      </c>
    </row>
    <row r="219">
      <c r="A219" s="335">
        <f>Participants!A19</f>
        <v/>
      </c>
      <c r="B219" s="335" t="inlineStr">
        <is>
          <t>EgoAnchor</t>
        </is>
      </c>
      <c r="C219" s="336">
        <f>IF(COUNTIFS($A$5:$A$148,$A219,$C$5:$C$148,$B219,$E$5:$E$148,"是",$F$5:$F$148,"&gt;=0")=3,AVERAGEIFS($F$5:$F$148,$A$5:$A$148,$A219,$C$5:$C$148,$B219,$E$5:$E$148,"是"),"")</f>
        <v/>
      </c>
      <c r="D219" s="336">
        <f>IF(COUNTIFS($A$5:$A$148,$A219,$C$5:$C$148,$B219,$E$5:$E$148,"是",$G$5:$G$148,"&gt;=0")=3,AVERAGEIFS($G$5:$G$148,$A$5:$A$148,$A219,$C$5:$C$148,$B219,$E$5:$E$148,"是"),"")</f>
        <v/>
      </c>
      <c r="E219" s="336">
        <f>IF(COUNTIFS($A$5:$A$148,$A219,$C$5:$C$148,$B219,$E$5:$E$148,"是",$H$5:$H$148,"&gt;=0")=3,AVERAGEIFS($H$5:$H$148,$A$5:$A$148,$A219,$C$5:$C$148,$B219,$E$5:$E$148,"是"),"")</f>
        <v/>
      </c>
      <c r="F219" s="336">
        <f>IF(COUNTIFS($A$5:$A$148,$A219,$C$5:$C$148,$B219,$E$5:$E$148,"是",$I$5:$I$148,"&gt;=0")=3,AVERAGEIFS($I$5:$I$148,$A$5:$A$148,$A219,$C$5:$C$148,$B219,$E$5:$E$148,"是"),"")</f>
        <v/>
      </c>
      <c r="G219" s="336">
        <f>IF(COUNTIFS($A$5:$A$148,$A219,$C$5:$C$148,$B219,$E$5:$E$148,"是",$J$5:$J$148,"&gt;=0")=3,AVERAGEIFS($J$5:$J$148,$A$5:$A$148,$A219,$C$5:$C$148,$B219,$E$5:$E$148,"是"),"")</f>
        <v/>
      </c>
      <c r="H219" s="336">
        <f>IF(COUNTIFS($A$5:$A$148,$A219,$C$5:$C$148,$B219,$E$5:$E$148,"是",$K$5:$K$148,"&gt;=0")=3,AVERAGEIFS($K$5:$K$148,$A$5:$A$148,$A219,$C$5:$C$148,$B219,$E$5:$E$148,"是"),"")</f>
        <v/>
      </c>
      <c r="I219" s="336">
        <f>IF(COUNTIFS($A$5:$A$148,$A219,$C$5:$C$148,$B219,$E$5:$E$148,"是",$L$5:$L$148,"&gt;=0")=3,AVERAGEIFS($L$5:$L$148,$A$5:$A$148,$A219,$C$5:$C$148,$B219,$E$5:$E$148,"是"),"")</f>
        <v/>
      </c>
      <c r="J219" s="336">
        <f>IF(COUNTIFS($A$5:$A$148,$A219,$C$5:$C$148,$B219,$E$5:$E$148,"是",$M$5:$M$148,"&gt;=0")=3,AVERAGEIFS($M$5:$M$148,$A$5:$A$148,$A219,$C$5:$C$148,$B219,$E$5:$E$148,"是"),"")</f>
        <v/>
      </c>
      <c r="K219" s="336">
        <f>IF(COUNTIFS($A$5:$A$148,$A219,$C$5:$C$148,$B219,$E$5:$E$148,"是",$N$5:$N$148,"&gt;=0")=3,AVERAGEIFS($N$5:$N$148,$A$5:$A$148,$A219,$C$5:$C$148,$B219,$E$5:$E$148,"是"),"")</f>
        <v/>
      </c>
      <c r="L219" s="336">
        <f>IF(COUNTIFS($A$152:$A$199,$A219,$B$152:$B$199,$B219,$D$152:$D$199,"是",$R$152:$R$199,"&gt;=0")=1,AVERAGEIFS($R$152:$R$199,$A$152:$A$199,$A219,$B$152:$B$199,$B219,$D$152:$D$199,"是"),"")</f>
        <v/>
      </c>
      <c r="M219" s="336">
        <f>IF(COUNTIFS($A$152:$A$199,$A219,$B$152:$B$199,$B219,$D$152:$D$199,"是",$S$152:$S$199,"&gt;=0")=1,AVERAGEIFS($S$152:$S$199,$A$152:$A$199,$A219,$B$152:$B$199,$B219,$D$152:$D$199,"是"),"")</f>
        <v/>
      </c>
      <c r="N219" s="336">
        <f>IF(COUNTIFS($A$152:$A$199,$A219,$B$152:$B$199,$B219,$D$152:$D$199,"是",$T$152:$T$199,"&gt;=0")=1,AVERAGEIFS($T$152:$T$199,$A$152:$A$199,$A219,$B$152:$B$199,$B219,$D$152:$D$199,"是"),"")</f>
        <v/>
      </c>
      <c r="O219" s="336">
        <f>IF(COUNTIFS($A$5:$A$148,$A219,$C$5:$C$148,$B219,$E$5:$E$148,"是",$O$5:$O$148,"&gt;=0")=3,AVERAGEIFS($O$5:$O$148,$A$5:$A$148,$A219,$C$5:$C$148,$B219,$E$5:$E$148,"是"),"")</f>
        <v/>
      </c>
      <c r="P219" s="336">
        <f>IF(COUNTIFS($A$5:$A$148,$A219,$C$5:$C$148,$B219,$E$5:$E$148,"是",$R$5:$R$148,"&gt;=0")=3,AVERAGEIFS($R$5:$R$148,$A$5:$A$148,$A219,$C$5:$C$148,$B219,$E$5:$E$148,"是"),"")</f>
        <v/>
      </c>
      <c r="Q219" s="336">
        <f>IF(COUNTIFS($A$5:$A$148,$A219,$C$5:$C$148,$B219,$E$5:$E$148,"是",$S$5:$S$148,"&gt;=0")=3,AVERAGEIFS($S$5:$S$148,$A$5:$A$148,$A219,$C$5:$C$148,$B219,$E$5:$E$148,"是"),"")</f>
        <v/>
      </c>
      <c r="R219" s="336">
        <f>IF(COUNTIFS($A$5:$A$148,$A219,$C$5:$C$148,$B219,$E$5:$E$148,"是",$T$5:$T$148,"&gt;=0")=3,AVERAGEIFS($T$5:$T$148,$A$5:$A$148,$A219,$C$5:$C$148,$B219,$E$5:$E$148,"是"),"")</f>
        <v/>
      </c>
      <c r="S219" s="336">
        <f>IF(COUNTIFS($A$5:$A$148,$A219,$C$5:$C$148,$B219,$E$5:$E$148,"是",$U$5:$U$148,"&gt;=0")=3,AVERAGEIFS($U$5:$U$148,$A$5:$A$148,$A219,$C$5:$C$148,$B219,$E$5:$E$148,"是"),"")</f>
        <v/>
      </c>
      <c r="T219" s="336">
        <f>IF(COUNTIFS($A$5:$A$148,$A219,$C$5:$C$148,$B219,$E$5:$E$148,"是",$V$5:$V$148,"&gt;=0")=3,AVERAGEIFS($V$5:$V$148,$A$5:$A$148,$A219,$C$5:$C$148,$B219,$E$5:$E$148,"是"),"")</f>
        <v/>
      </c>
      <c r="U219" s="336">
        <f>COUNTIFS($A$5:$A$148,$A219,$C$5:$C$148,$B219,$E$5:$E$148,"是")</f>
        <v/>
      </c>
    </row>
    <row r="220">
      <c r="A220" s="335">
        <f>Participants!A20</f>
        <v/>
      </c>
      <c r="B220" s="335" t="inlineStr">
        <is>
          <t>EgoAnchor</t>
        </is>
      </c>
      <c r="C220" s="336">
        <f>IF(COUNTIFS($A$5:$A$148,$A220,$C$5:$C$148,$B220,$E$5:$E$148,"是",$F$5:$F$148,"&gt;=0")=3,AVERAGEIFS($F$5:$F$148,$A$5:$A$148,$A220,$C$5:$C$148,$B220,$E$5:$E$148,"是"),"")</f>
        <v/>
      </c>
      <c r="D220" s="336">
        <f>IF(COUNTIFS($A$5:$A$148,$A220,$C$5:$C$148,$B220,$E$5:$E$148,"是",$G$5:$G$148,"&gt;=0")=3,AVERAGEIFS($G$5:$G$148,$A$5:$A$148,$A220,$C$5:$C$148,$B220,$E$5:$E$148,"是"),"")</f>
        <v/>
      </c>
      <c r="E220" s="336">
        <f>IF(COUNTIFS($A$5:$A$148,$A220,$C$5:$C$148,$B220,$E$5:$E$148,"是",$H$5:$H$148,"&gt;=0")=3,AVERAGEIFS($H$5:$H$148,$A$5:$A$148,$A220,$C$5:$C$148,$B220,$E$5:$E$148,"是"),"")</f>
        <v/>
      </c>
      <c r="F220" s="336">
        <f>IF(COUNTIFS($A$5:$A$148,$A220,$C$5:$C$148,$B220,$E$5:$E$148,"是",$I$5:$I$148,"&gt;=0")=3,AVERAGEIFS($I$5:$I$148,$A$5:$A$148,$A220,$C$5:$C$148,$B220,$E$5:$E$148,"是"),"")</f>
        <v/>
      </c>
      <c r="G220" s="336">
        <f>IF(COUNTIFS($A$5:$A$148,$A220,$C$5:$C$148,$B220,$E$5:$E$148,"是",$J$5:$J$148,"&gt;=0")=3,AVERAGEIFS($J$5:$J$148,$A$5:$A$148,$A220,$C$5:$C$148,$B220,$E$5:$E$148,"是"),"")</f>
        <v/>
      </c>
      <c r="H220" s="336">
        <f>IF(COUNTIFS($A$5:$A$148,$A220,$C$5:$C$148,$B220,$E$5:$E$148,"是",$K$5:$K$148,"&gt;=0")=3,AVERAGEIFS($K$5:$K$148,$A$5:$A$148,$A220,$C$5:$C$148,$B220,$E$5:$E$148,"是"),"")</f>
        <v/>
      </c>
      <c r="I220" s="336">
        <f>IF(COUNTIFS($A$5:$A$148,$A220,$C$5:$C$148,$B220,$E$5:$E$148,"是",$L$5:$L$148,"&gt;=0")=3,AVERAGEIFS($L$5:$L$148,$A$5:$A$148,$A220,$C$5:$C$148,$B220,$E$5:$E$148,"是"),"")</f>
        <v/>
      </c>
      <c r="J220" s="336">
        <f>IF(COUNTIFS($A$5:$A$148,$A220,$C$5:$C$148,$B220,$E$5:$E$148,"是",$M$5:$M$148,"&gt;=0")=3,AVERAGEIFS($M$5:$M$148,$A$5:$A$148,$A220,$C$5:$C$148,$B220,$E$5:$E$148,"是"),"")</f>
        <v/>
      </c>
      <c r="K220" s="336">
        <f>IF(COUNTIFS($A$5:$A$148,$A220,$C$5:$C$148,$B220,$E$5:$E$148,"是",$N$5:$N$148,"&gt;=0")=3,AVERAGEIFS($N$5:$N$148,$A$5:$A$148,$A220,$C$5:$C$148,$B220,$E$5:$E$148,"是"),"")</f>
        <v/>
      </c>
      <c r="L220" s="336">
        <f>IF(COUNTIFS($A$152:$A$199,$A220,$B$152:$B$199,$B220,$D$152:$D$199,"是",$R$152:$R$199,"&gt;=0")=1,AVERAGEIFS($R$152:$R$199,$A$152:$A$199,$A220,$B$152:$B$199,$B220,$D$152:$D$199,"是"),"")</f>
        <v/>
      </c>
      <c r="M220" s="336">
        <f>IF(COUNTIFS($A$152:$A$199,$A220,$B$152:$B$199,$B220,$D$152:$D$199,"是",$S$152:$S$199,"&gt;=0")=1,AVERAGEIFS($S$152:$S$199,$A$152:$A$199,$A220,$B$152:$B$199,$B220,$D$152:$D$199,"是"),"")</f>
        <v/>
      </c>
      <c r="N220" s="336">
        <f>IF(COUNTIFS($A$152:$A$199,$A220,$B$152:$B$199,$B220,$D$152:$D$199,"是",$T$152:$T$199,"&gt;=0")=1,AVERAGEIFS($T$152:$T$199,$A$152:$A$199,$A220,$B$152:$B$199,$B220,$D$152:$D$199,"是"),"")</f>
        <v/>
      </c>
      <c r="O220" s="336">
        <f>IF(COUNTIFS($A$5:$A$148,$A220,$C$5:$C$148,$B220,$E$5:$E$148,"是",$O$5:$O$148,"&gt;=0")=3,AVERAGEIFS($O$5:$O$148,$A$5:$A$148,$A220,$C$5:$C$148,$B220,$E$5:$E$148,"是"),"")</f>
        <v/>
      </c>
      <c r="P220" s="336">
        <f>IF(COUNTIFS($A$5:$A$148,$A220,$C$5:$C$148,$B220,$E$5:$E$148,"是",$R$5:$R$148,"&gt;=0")=3,AVERAGEIFS($R$5:$R$148,$A$5:$A$148,$A220,$C$5:$C$148,$B220,$E$5:$E$148,"是"),"")</f>
        <v/>
      </c>
      <c r="Q220" s="336">
        <f>IF(COUNTIFS($A$5:$A$148,$A220,$C$5:$C$148,$B220,$E$5:$E$148,"是",$S$5:$S$148,"&gt;=0")=3,AVERAGEIFS($S$5:$S$148,$A$5:$A$148,$A220,$C$5:$C$148,$B220,$E$5:$E$148,"是"),"")</f>
        <v/>
      </c>
      <c r="R220" s="336">
        <f>IF(COUNTIFS($A$5:$A$148,$A220,$C$5:$C$148,$B220,$E$5:$E$148,"是",$T$5:$T$148,"&gt;=0")=3,AVERAGEIFS($T$5:$T$148,$A$5:$A$148,$A220,$C$5:$C$148,$B220,$E$5:$E$148,"是"),"")</f>
        <v/>
      </c>
      <c r="S220" s="336">
        <f>IF(COUNTIFS($A$5:$A$148,$A220,$C$5:$C$148,$B220,$E$5:$E$148,"是",$U$5:$U$148,"&gt;=0")=3,AVERAGEIFS($U$5:$U$148,$A$5:$A$148,$A220,$C$5:$C$148,$B220,$E$5:$E$148,"是"),"")</f>
        <v/>
      </c>
      <c r="T220" s="336">
        <f>IF(COUNTIFS($A$5:$A$148,$A220,$C$5:$C$148,$B220,$E$5:$E$148,"是",$V$5:$V$148,"&gt;=0")=3,AVERAGEIFS($V$5:$V$148,$A$5:$A$148,$A220,$C$5:$C$148,$B220,$E$5:$E$148,"是"),"")</f>
        <v/>
      </c>
      <c r="U220" s="336">
        <f>COUNTIFS($A$5:$A$148,$A220,$C$5:$C$148,$B220,$E$5:$E$148,"是")</f>
        <v/>
      </c>
    </row>
    <row r="221">
      <c r="A221" s="335">
        <f>Participants!A21</f>
        <v/>
      </c>
      <c r="B221" s="335" t="inlineStr">
        <is>
          <t>EgoAnchor</t>
        </is>
      </c>
      <c r="C221" s="336">
        <f>IF(COUNTIFS($A$5:$A$148,$A221,$C$5:$C$148,$B221,$E$5:$E$148,"是",$F$5:$F$148,"&gt;=0")=3,AVERAGEIFS($F$5:$F$148,$A$5:$A$148,$A221,$C$5:$C$148,$B221,$E$5:$E$148,"是"),"")</f>
        <v/>
      </c>
      <c r="D221" s="336">
        <f>IF(COUNTIFS($A$5:$A$148,$A221,$C$5:$C$148,$B221,$E$5:$E$148,"是",$G$5:$G$148,"&gt;=0")=3,AVERAGEIFS($G$5:$G$148,$A$5:$A$148,$A221,$C$5:$C$148,$B221,$E$5:$E$148,"是"),"")</f>
        <v/>
      </c>
      <c r="E221" s="336">
        <f>IF(COUNTIFS($A$5:$A$148,$A221,$C$5:$C$148,$B221,$E$5:$E$148,"是",$H$5:$H$148,"&gt;=0")=3,AVERAGEIFS($H$5:$H$148,$A$5:$A$148,$A221,$C$5:$C$148,$B221,$E$5:$E$148,"是"),"")</f>
        <v/>
      </c>
      <c r="F221" s="336">
        <f>IF(COUNTIFS($A$5:$A$148,$A221,$C$5:$C$148,$B221,$E$5:$E$148,"是",$I$5:$I$148,"&gt;=0")=3,AVERAGEIFS($I$5:$I$148,$A$5:$A$148,$A221,$C$5:$C$148,$B221,$E$5:$E$148,"是"),"")</f>
        <v/>
      </c>
      <c r="G221" s="336">
        <f>IF(COUNTIFS($A$5:$A$148,$A221,$C$5:$C$148,$B221,$E$5:$E$148,"是",$J$5:$J$148,"&gt;=0")=3,AVERAGEIFS($J$5:$J$148,$A$5:$A$148,$A221,$C$5:$C$148,$B221,$E$5:$E$148,"是"),"")</f>
        <v/>
      </c>
      <c r="H221" s="336">
        <f>IF(COUNTIFS($A$5:$A$148,$A221,$C$5:$C$148,$B221,$E$5:$E$148,"是",$K$5:$K$148,"&gt;=0")=3,AVERAGEIFS($K$5:$K$148,$A$5:$A$148,$A221,$C$5:$C$148,$B221,$E$5:$E$148,"是"),"")</f>
        <v/>
      </c>
      <c r="I221" s="336">
        <f>IF(COUNTIFS($A$5:$A$148,$A221,$C$5:$C$148,$B221,$E$5:$E$148,"是",$L$5:$L$148,"&gt;=0")=3,AVERAGEIFS($L$5:$L$148,$A$5:$A$148,$A221,$C$5:$C$148,$B221,$E$5:$E$148,"是"),"")</f>
        <v/>
      </c>
      <c r="J221" s="336">
        <f>IF(COUNTIFS($A$5:$A$148,$A221,$C$5:$C$148,$B221,$E$5:$E$148,"是",$M$5:$M$148,"&gt;=0")=3,AVERAGEIFS($M$5:$M$148,$A$5:$A$148,$A221,$C$5:$C$148,$B221,$E$5:$E$148,"是"),"")</f>
        <v/>
      </c>
      <c r="K221" s="336">
        <f>IF(COUNTIFS($A$5:$A$148,$A221,$C$5:$C$148,$B221,$E$5:$E$148,"是",$N$5:$N$148,"&gt;=0")=3,AVERAGEIFS($N$5:$N$148,$A$5:$A$148,$A221,$C$5:$C$148,$B221,$E$5:$E$148,"是"),"")</f>
        <v/>
      </c>
      <c r="L221" s="336">
        <f>IF(COUNTIFS($A$152:$A$199,$A221,$B$152:$B$199,$B221,$D$152:$D$199,"是",$R$152:$R$199,"&gt;=0")=1,AVERAGEIFS($R$152:$R$199,$A$152:$A$199,$A221,$B$152:$B$199,$B221,$D$152:$D$199,"是"),"")</f>
        <v/>
      </c>
      <c r="M221" s="336">
        <f>IF(COUNTIFS($A$152:$A$199,$A221,$B$152:$B$199,$B221,$D$152:$D$199,"是",$S$152:$S$199,"&gt;=0")=1,AVERAGEIFS($S$152:$S$199,$A$152:$A$199,$A221,$B$152:$B$199,$B221,$D$152:$D$199,"是"),"")</f>
        <v/>
      </c>
      <c r="N221" s="336">
        <f>IF(COUNTIFS($A$152:$A$199,$A221,$B$152:$B$199,$B221,$D$152:$D$199,"是",$T$152:$T$199,"&gt;=0")=1,AVERAGEIFS($T$152:$T$199,$A$152:$A$199,$A221,$B$152:$B$199,$B221,$D$152:$D$199,"是"),"")</f>
        <v/>
      </c>
      <c r="O221" s="336">
        <f>IF(COUNTIFS($A$5:$A$148,$A221,$C$5:$C$148,$B221,$E$5:$E$148,"是",$O$5:$O$148,"&gt;=0")=3,AVERAGEIFS($O$5:$O$148,$A$5:$A$148,$A221,$C$5:$C$148,$B221,$E$5:$E$148,"是"),"")</f>
        <v/>
      </c>
      <c r="P221" s="336">
        <f>IF(COUNTIFS($A$5:$A$148,$A221,$C$5:$C$148,$B221,$E$5:$E$148,"是",$R$5:$R$148,"&gt;=0")=3,AVERAGEIFS($R$5:$R$148,$A$5:$A$148,$A221,$C$5:$C$148,$B221,$E$5:$E$148,"是"),"")</f>
        <v/>
      </c>
      <c r="Q221" s="336">
        <f>IF(COUNTIFS($A$5:$A$148,$A221,$C$5:$C$148,$B221,$E$5:$E$148,"是",$S$5:$S$148,"&gt;=0")=3,AVERAGEIFS($S$5:$S$148,$A$5:$A$148,$A221,$C$5:$C$148,$B221,$E$5:$E$148,"是"),"")</f>
        <v/>
      </c>
      <c r="R221" s="336">
        <f>IF(COUNTIFS($A$5:$A$148,$A221,$C$5:$C$148,$B221,$E$5:$E$148,"是",$T$5:$T$148,"&gt;=0")=3,AVERAGEIFS($T$5:$T$148,$A$5:$A$148,$A221,$C$5:$C$148,$B221,$E$5:$E$148,"是"),"")</f>
        <v/>
      </c>
      <c r="S221" s="336">
        <f>IF(COUNTIFS($A$5:$A$148,$A221,$C$5:$C$148,$B221,$E$5:$E$148,"是",$U$5:$U$148,"&gt;=0")=3,AVERAGEIFS($U$5:$U$148,$A$5:$A$148,$A221,$C$5:$C$148,$B221,$E$5:$E$148,"是"),"")</f>
        <v/>
      </c>
      <c r="T221" s="336">
        <f>IF(COUNTIFS($A$5:$A$148,$A221,$C$5:$C$148,$B221,$E$5:$E$148,"是",$V$5:$V$148,"&gt;=0")=3,AVERAGEIFS($V$5:$V$148,$A$5:$A$148,$A221,$C$5:$C$148,$B221,$E$5:$E$148,"是"),"")</f>
        <v/>
      </c>
      <c r="U221" s="336">
        <f>COUNTIFS($A$5:$A$148,$A221,$C$5:$C$148,$B221,$E$5:$E$148,"是")</f>
        <v/>
      </c>
    </row>
    <row r="222">
      <c r="A222" s="335">
        <f>Participants!A22</f>
        <v/>
      </c>
      <c r="B222" s="335" t="inlineStr">
        <is>
          <t>EgoAnchor</t>
        </is>
      </c>
      <c r="C222" s="336">
        <f>IF(COUNTIFS($A$5:$A$148,$A222,$C$5:$C$148,$B222,$E$5:$E$148,"是",$F$5:$F$148,"&gt;=0")=3,AVERAGEIFS($F$5:$F$148,$A$5:$A$148,$A222,$C$5:$C$148,$B222,$E$5:$E$148,"是"),"")</f>
        <v/>
      </c>
      <c r="D222" s="336">
        <f>IF(COUNTIFS($A$5:$A$148,$A222,$C$5:$C$148,$B222,$E$5:$E$148,"是",$G$5:$G$148,"&gt;=0")=3,AVERAGEIFS($G$5:$G$148,$A$5:$A$148,$A222,$C$5:$C$148,$B222,$E$5:$E$148,"是"),"")</f>
        <v/>
      </c>
      <c r="E222" s="336">
        <f>IF(COUNTIFS($A$5:$A$148,$A222,$C$5:$C$148,$B222,$E$5:$E$148,"是",$H$5:$H$148,"&gt;=0")=3,AVERAGEIFS($H$5:$H$148,$A$5:$A$148,$A222,$C$5:$C$148,$B222,$E$5:$E$148,"是"),"")</f>
        <v/>
      </c>
      <c r="F222" s="336">
        <f>IF(COUNTIFS($A$5:$A$148,$A222,$C$5:$C$148,$B222,$E$5:$E$148,"是",$I$5:$I$148,"&gt;=0")=3,AVERAGEIFS($I$5:$I$148,$A$5:$A$148,$A222,$C$5:$C$148,$B222,$E$5:$E$148,"是"),"")</f>
        <v/>
      </c>
      <c r="G222" s="336">
        <f>IF(COUNTIFS($A$5:$A$148,$A222,$C$5:$C$148,$B222,$E$5:$E$148,"是",$J$5:$J$148,"&gt;=0")=3,AVERAGEIFS($J$5:$J$148,$A$5:$A$148,$A222,$C$5:$C$148,$B222,$E$5:$E$148,"是"),"")</f>
        <v/>
      </c>
      <c r="H222" s="336">
        <f>IF(COUNTIFS($A$5:$A$148,$A222,$C$5:$C$148,$B222,$E$5:$E$148,"是",$K$5:$K$148,"&gt;=0")=3,AVERAGEIFS($K$5:$K$148,$A$5:$A$148,$A222,$C$5:$C$148,$B222,$E$5:$E$148,"是"),"")</f>
        <v/>
      </c>
      <c r="I222" s="336">
        <f>IF(COUNTIFS($A$5:$A$148,$A222,$C$5:$C$148,$B222,$E$5:$E$148,"是",$L$5:$L$148,"&gt;=0")=3,AVERAGEIFS($L$5:$L$148,$A$5:$A$148,$A222,$C$5:$C$148,$B222,$E$5:$E$148,"是"),"")</f>
        <v/>
      </c>
      <c r="J222" s="336">
        <f>IF(COUNTIFS($A$5:$A$148,$A222,$C$5:$C$148,$B222,$E$5:$E$148,"是",$M$5:$M$148,"&gt;=0")=3,AVERAGEIFS($M$5:$M$148,$A$5:$A$148,$A222,$C$5:$C$148,$B222,$E$5:$E$148,"是"),"")</f>
        <v/>
      </c>
      <c r="K222" s="336">
        <f>IF(COUNTIFS($A$5:$A$148,$A222,$C$5:$C$148,$B222,$E$5:$E$148,"是",$N$5:$N$148,"&gt;=0")=3,AVERAGEIFS($N$5:$N$148,$A$5:$A$148,$A222,$C$5:$C$148,$B222,$E$5:$E$148,"是"),"")</f>
        <v/>
      </c>
      <c r="L222" s="336">
        <f>IF(COUNTIFS($A$152:$A$199,$A222,$B$152:$B$199,$B222,$D$152:$D$199,"是",$R$152:$R$199,"&gt;=0")=1,AVERAGEIFS($R$152:$R$199,$A$152:$A$199,$A222,$B$152:$B$199,$B222,$D$152:$D$199,"是"),"")</f>
        <v/>
      </c>
      <c r="M222" s="336">
        <f>IF(COUNTIFS($A$152:$A$199,$A222,$B$152:$B$199,$B222,$D$152:$D$199,"是",$S$152:$S$199,"&gt;=0")=1,AVERAGEIFS($S$152:$S$199,$A$152:$A$199,$A222,$B$152:$B$199,$B222,$D$152:$D$199,"是"),"")</f>
        <v/>
      </c>
      <c r="N222" s="336">
        <f>IF(COUNTIFS($A$152:$A$199,$A222,$B$152:$B$199,$B222,$D$152:$D$199,"是",$T$152:$T$199,"&gt;=0")=1,AVERAGEIFS($T$152:$T$199,$A$152:$A$199,$A222,$B$152:$B$199,$B222,$D$152:$D$199,"是"),"")</f>
        <v/>
      </c>
      <c r="O222" s="336">
        <f>IF(COUNTIFS($A$5:$A$148,$A222,$C$5:$C$148,$B222,$E$5:$E$148,"是",$O$5:$O$148,"&gt;=0")=3,AVERAGEIFS($O$5:$O$148,$A$5:$A$148,$A222,$C$5:$C$148,$B222,$E$5:$E$148,"是"),"")</f>
        <v/>
      </c>
      <c r="P222" s="336">
        <f>IF(COUNTIFS($A$5:$A$148,$A222,$C$5:$C$148,$B222,$E$5:$E$148,"是",$R$5:$R$148,"&gt;=0")=3,AVERAGEIFS($R$5:$R$148,$A$5:$A$148,$A222,$C$5:$C$148,$B222,$E$5:$E$148,"是"),"")</f>
        <v/>
      </c>
      <c r="Q222" s="336">
        <f>IF(COUNTIFS($A$5:$A$148,$A222,$C$5:$C$148,$B222,$E$5:$E$148,"是",$S$5:$S$148,"&gt;=0")=3,AVERAGEIFS($S$5:$S$148,$A$5:$A$148,$A222,$C$5:$C$148,$B222,$E$5:$E$148,"是"),"")</f>
        <v/>
      </c>
      <c r="R222" s="336">
        <f>IF(COUNTIFS($A$5:$A$148,$A222,$C$5:$C$148,$B222,$E$5:$E$148,"是",$T$5:$T$148,"&gt;=0")=3,AVERAGEIFS($T$5:$T$148,$A$5:$A$148,$A222,$C$5:$C$148,$B222,$E$5:$E$148,"是"),"")</f>
        <v/>
      </c>
      <c r="S222" s="336">
        <f>IF(COUNTIFS($A$5:$A$148,$A222,$C$5:$C$148,$B222,$E$5:$E$148,"是",$U$5:$U$148,"&gt;=0")=3,AVERAGEIFS($U$5:$U$148,$A$5:$A$148,$A222,$C$5:$C$148,$B222,$E$5:$E$148,"是"),"")</f>
        <v/>
      </c>
      <c r="T222" s="336">
        <f>IF(COUNTIFS($A$5:$A$148,$A222,$C$5:$C$148,$B222,$E$5:$E$148,"是",$V$5:$V$148,"&gt;=0")=3,AVERAGEIFS($V$5:$V$148,$A$5:$A$148,$A222,$C$5:$C$148,$B222,$E$5:$E$148,"是"),"")</f>
        <v/>
      </c>
      <c r="U222" s="336">
        <f>COUNTIFS($A$5:$A$148,$A222,$C$5:$C$148,$B222,$E$5:$E$148,"是")</f>
        <v/>
      </c>
    </row>
    <row r="223">
      <c r="A223" s="335">
        <f>Participants!A23</f>
        <v/>
      </c>
      <c r="B223" s="335" t="inlineStr">
        <is>
          <t>EgoAnchor</t>
        </is>
      </c>
      <c r="C223" s="336">
        <f>IF(COUNTIFS($A$5:$A$148,$A223,$C$5:$C$148,$B223,$E$5:$E$148,"是",$F$5:$F$148,"&gt;=0")=3,AVERAGEIFS($F$5:$F$148,$A$5:$A$148,$A223,$C$5:$C$148,$B223,$E$5:$E$148,"是"),"")</f>
        <v/>
      </c>
      <c r="D223" s="336">
        <f>IF(COUNTIFS($A$5:$A$148,$A223,$C$5:$C$148,$B223,$E$5:$E$148,"是",$G$5:$G$148,"&gt;=0")=3,AVERAGEIFS($G$5:$G$148,$A$5:$A$148,$A223,$C$5:$C$148,$B223,$E$5:$E$148,"是"),"")</f>
        <v/>
      </c>
      <c r="E223" s="336">
        <f>IF(COUNTIFS($A$5:$A$148,$A223,$C$5:$C$148,$B223,$E$5:$E$148,"是",$H$5:$H$148,"&gt;=0")=3,AVERAGEIFS($H$5:$H$148,$A$5:$A$148,$A223,$C$5:$C$148,$B223,$E$5:$E$148,"是"),"")</f>
        <v/>
      </c>
      <c r="F223" s="336">
        <f>IF(COUNTIFS($A$5:$A$148,$A223,$C$5:$C$148,$B223,$E$5:$E$148,"是",$I$5:$I$148,"&gt;=0")=3,AVERAGEIFS($I$5:$I$148,$A$5:$A$148,$A223,$C$5:$C$148,$B223,$E$5:$E$148,"是"),"")</f>
        <v/>
      </c>
      <c r="G223" s="336">
        <f>IF(COUNTIFS($A$5:$A$148,$A223,$C$5:$C$148,$B223,$E$5:$E$148,"是",$J$5:$J$148,"&gt;=0")=3,AVERAGEIFS($J$5:$J$148,$A$5:$A$148,$A223,$C$5:$C$148,$B223,$E$5:$E$148,"是"),"")</f>
        <v/>
      </c>
      <c r="H223" s="336">
        <f>IF(COUNTIFS($A$5:$A$148,$A223,$C$5:$C$148,$B223,$E$5:$E$148,"是",$K$5:$K$148,"&gt;=0")=3,AVERAGEIFS($K$5:$K$148,$A$5:$A$148,$A223,$C$5:$C$148,$B223,$E$5:$E$148,"是"),"")</f>
        <v/>
      </c>
      <c r="I223" s="336">
        <f>IF(COUNTIFS($A$5:$A$148,$A223,$C$5:$C$148,$B223,$E$5:$E$148,"是",$L$5:$L$148,"&gt;=0")=3,AVERAGEIFS($L$5:$L$148,$A$5:$A$148,$A223,$C$5:$C$148,$B223,$E$5:$E$148,"是"),"")</f>
        <v/>
      </c>
      <c r="J223" s="336">
        <f>IF(COUNTIFS($A$5:$A$148,$A223,$C$5:$C$148,$B223,$E$5:$E$148,"是",$M$5:$M$148,"&gt;=0")=3,AVERAGEIFS($M$5:$M$148,$A$5:$A$148,$A223,$C$5:$C$148,$B223,$E$5:$E$148,"是"),"")</f>
        <v/>
      </c>
      <c r="K223" s="336">
        <f>IF(COUNTIFS($A$5:$A$148,$A223,$C$5:$C$148,$B223,$E$5:$E$148,"是",$N$5:$N$148,"&gt;=0")=3,AVERAGEIFS($N$5:$N$148,$A$5:$A$148,$A223,$C$5:$C$148,$B223,$E$5:$E$148,"是"),"")</f>
        <v/>
      </c>
      <c r="L223" s="336">
        <f>IF(COUNTIFS($A$152:$A$199,$A223,$B$152:$B$199,$B223,$D$152:$D$199,"是",$R$152:$R$199,"&gt;=0")=1,AVERAGEIFS($R$152:$R$199,$A$152:$A$199,$A223,$B$152:$B$199,$B223,$D$152:$D$199,"是"),"")</f>
        <v/>
      </c>
      <c r="M223" s="336">
        <f>IF(COUNTIFS($A$152:$A$199,$A223,$B$152:$B$199,$B223,$D$152:$D$199,"是",$S$152:$S$199,"&gt;=0")=1,AVERAGEIFS($S$152:$S$199,$A$152:$A$199,$A223,$B$152:$B$199,$B223,$D$152:$D$199,"是"),"")</f>
        <v/>
      </c>
      <c r="N223" s="336">
        <f>IF(COUNTIFS($A$152:$A$199,$A223,$B$152:$B$199,$B223,$D$152:$D$199,"是",$T$152:$T$199,"&gt;=0")=1,AVERAGEIFS($T$152:$T$199,$A$152:$A$199,$A223,$B$152:$B$199,$B223,$D$152:$D$199,"是"),"")</f>
        <v/>
      </c>
      <c r="O223" s="336">
        <f>IF(COUNTIFS($A$5:$A$148,$A223,$C$5:$C$148,$B223,$E$5:$E$148,"是",$O$5:$O$148,"&gt;=0")=3,AVERAGEIFS($O$5:$O$148,$A$5:$A$148,$A223,$C$5:$C$148,$B223,$E$5:$E$148,"是"),"")</f>
        <v/>
      </c>
      <c r="P223" s="336">
        <f>IF(COUNTIFS($A$5:$A$148,$A223,$C$5:$C$148,$B223,$E$5:$E$148,"是",$R$5:$R$148,"&gt;=0")=3,AVERAGEIFS($R$5:$R$148,$A$5:$A$148,$A223,$C$5:$C$148,$B223,$E$5:$E$148,"是"),"")</f>
        <v/>
      </c>
      <c r="Q223" s="336">
        <f>IF(COUNTIFS($A$5:$A$148,$A223,$C$5:$C$148,$B223,$E$5:$E$148,"是",$S$5:$S$148,"&gt;=0")=3,AVERAGEIFS($S$5:$S$148,$A$5:$A$148,$A223,$C$5:$C$148,$B223,$E$5:$E$148,"是"),"")</f>
        <v/>
      </c>
      <c r="R223" s="336">
        <f>IF(COUNTIFS($A$5:$A$148,$A223,$C$5:$C$148,$B223,$E$5:$E$148,"是",$T$5:$T$148,"&gt;=0")=3,AVERAGEIFS($T$5:$T$148,$A$5:$A$148,$A223,$C$5:$C$148,$B223,$E$5:$E$148,"是"),"")</f>
        <v/>
      </c>
      <c r="S223" s="336">
        <f>IF(COUNTIFS($A$5:$A$148,$A223,$C$5:$C$148,$B223,$E$5:$E$148,"是",$U$5:$U$148,"&gt;=0")=3,AVERAGEIFS($U$5:$U$148,$A$5:$A$148,$A223,$C$5:$C$148,$B223,$E$5:$E$148,"是"),"")</f>
        <v/>
      </c>
      <c r="T223" s="336">
        <f>IF(COUNTIFS($A$5:$A$148,$A223,$C$5:$C$148,$B223,$E$5:$E$148,"是",$V$5:$V$148,"&gt;=0")=3,AVERAGEIFS($V$5:$V$148,$A$5:$A$148,$A223,$C$5:$C$148,$B223,$E$5:$E$148,"是"),"")</f>
        <v/>
      </c>
      <c r="U223" s="336">
        <f>COUNTIFS($A$5:$A$148,$A223,$C$5:$C$148,$B223,$E$5:$E$148,"是")</f>
        <v/>
      </c>
    </row>
    <row r="224">
      <c r="A224" s="335">
        <f>Participants!A24</f>
        <v/>
      </c>
      <c r="B224" s="335" t="inlineStr">
        <is>
          <t>EgoAnchor</t>
        </is>
      </c>
      <c r="C224" s="336">
        <f>IF(COUNTIFS($A$5:$A$148,$A224,$C$5:$C$148,$B224,$E$5:$E$148,"是",$F$5:$F$148,"&gt;=0")=3,AVERAGEIFS($F$5:$F$148,$A$5:$A$148,$A224,$C$5:$C$148,$B224,$E$5:$E$148,"是"),"")</f>
        <v/>
      </c>
      <c r="D224" s="336">
        <f>IF(COUNTIFS($A$5:$A$148,$A224,$C$5:$C$148,$B224,$E$5:$E$148,"是",$G$5:$G$148,"&gt;=0")=3,AVERAGEIFS($G$5:$G$148,$A$5:$A$148,$A224,$C$5:$C$148,$B224,$E$5:$E$148,"是"),"")</f>
        <v/>
      </c>
      <c r="E224" s="336">
        <f>IF(COUNTIFS($A$5:$A$148,$A224,$C$5:$C$148,$B224,$E$5:$E$148,"是",$H$5:$H$148,"&gt;=0")=3,AVERAGEIFS($H$5:$H$148,$A$5:$A$148,$A224,$C$5:$C$148,$B224,$E$5:$E$148,"是"),"")</f>
        <v/>
      </c>
      <c r="F224" s="336">
        <f>IF(COUNTIFS($A$5:$A$148,$A224,$C$5:$C$148,$B224,$E$5:$E$148,"是",$I$5:$I$148,"&gt;=0")=3,AVERAGEIFS($I$5:$I$148,$A$5:$A$148,$A224,$C$5:$C$148,$B224,$E$5:$E$148,"是"),"")</f>
        <v/>
      </c>
      <c r="G224" s="336">
        <f>IF(COUNTIFS($A$5:$A$148,$A224,$C$5:$C$148,$B224,$E$5:$E$148,"是",$J$5:$J$148,"&gt;=0")=3,AVERAGEIFS($J$5:$J$148,$A$5:$A$148,$A224,$C$5:$C$148,$B224,$E$5:$E$148,"是"),"")</f>
        <v/>
      </c>
      <c r="H224" s="336">
        <f>IF(COUNTIFS($A$5:$A$148,$A224,$C$5:$C$148,$B224,$E$5:$E$148,"是",$K$5:$K$148,"&gt;=0")=3,AVERAGEIFS($K$5:$K$148,$A$5:$A$148,$A224,$C$5:$C$148,$B224,$E$5:$E$148,"是"),"")</f>
        <v/>
      </c>
      <c r="I224" s="336">
        <f>IF(COUNTIFS($A$5:$A$148,$A224,$C$5:$C$148,$B224,$E$5:$E$148,"是",$L$5:$L$148,"&gt;=0")=3,AVERAGEIFS($L$5:$L$148,$A$5:$A$148,$A224,$C$5:$C$148,$B224,$E$5:$E$148,"是"),"")</f>
        <v/>
      </c>
      <c r="J224" s="336">
        <f>IF(COUNTIFS($A$5:$A$148,$A224,$C$5:$C$148,$B224,$E$5:$E$148,"是",$M$5:$M$148,"&gt;=0")=3,AVERAGEIFS($M$5:$M$148,$A$5:$A$148,$A224,$C$5:$C$148,$B224,$E$5:$E$148,"是"),"")</f>
        <v/>
      </c>
      <c r="K224" s="336">
        <f>IF(COUNTIFS($A$5:$A$148,$A224,$C$5:$C$148,$B224,$E$5:$E$148,"是",$N$5:$N$148,"&gt;=0")=3,AVERAGEIFS($N$5:$N$148,$A$5:$A$148,$A224,$C$5:$C$148,$B224,$E$5:$E$148,"是"),"")</f>
        <v/>
      </c>
      <c r="L224" s="336">
        <f>IF(COUNTIFS($A$152:$A$199,$A224,$B$152:$B$199,$B224,$D$152:$D$199,"是",$R$152:$R$199,"&gt;=0")=1,AVERAGEIFS($R$152:$R$199,$A$152:$A$199,$A224,$B$152:$B$199,$B224,$D$152:$D$199,"是"),"")</f>
        <v/>
      </c>
      <c r="M224" s="336">
        <f>IF(COUNTIFS($A$152:$A$199,$A224,$B$152:$B$199,$B224,$D$152:$D$199,"是",$S$152:$S$199,"&gt;=0")=1,AVERAGEIFS($S$152:$S$199,$A$152:$A$199,$A224,$B$152:$B$199,$B224,$D$152:$D$199,"是"),"")</f>
        <v/>
      </c>
      <c r="N224" s="336">
        <f>IF(COUNTIFS($A$152:$A$199,$A224,$B$152:$B$199,$B224,$D$152:$D$199,"是",$T$152:$T$199,"&gt;=0")=1,AVERAGEIFS($T$152:$T$199,$A$152:$A$199,$A224,$B$152:$B$199,$B224,$D$152:$D$199,"是"),"")</f>
        <v/>
      </c>
      <c r="O224" s="336">
        <f>IF(COUNTIFS($A$5:$A$148,$A224,$C$5:$C$148,$B224,$E$5:$E$148,"是",$O$5:$O$148,"&gt;=0")=3,AVERAGEIFS($O$5:$O$148,$A$5:$A$148,$A224,$C$5:$C$148,$B224,$E$5:$E$148,"是"),"")</f>
        <v/>
      </c>
      <c r="P224" s="336">
        <f>IF(COUNTIFS($A$5:$A$148,$A224,$C$5:$C$148,$B224,$E$5:$E$148,"是",$R$5:$R$148,"&gt;=0")=3,AVERAGEIFS($R$5:$R$148,$A$5:$A$148,$A224,$C$5:$C$148,$B224,$E$5:$E$148,"是"),"")</f>
        <v/>
      </c>
      <c r="Q224" s="336">
        <f>IF(COUNTIFS($A$5:$A$148,$A224,$C$5:$C$148,$B224,$E$5:$E$148,"是",$S$5:$S$148,"&gt;=0")=3,AVERAGEIFS($S$5:$S$148,$A$5:$A$148,$A224,$C$5:$C$148,$B224,$E$5:$E$148,"是"),"")</f>
        <v/>
      </c>
      <c r="R224" s="336">
        <f>IF(COUNTIFS($A$5:$A$148,$A224,$C$5:$C$148,$B224,$E$5:$E$148,"是",$T$5:$T$148,"&gt;=0")=3,AVERAGEIFS($T$5:$T$148,$A$5:$A$148,$A224,$C$5:$C$148,$B224,$E$5:$E$148,"是"),"")</f>
        <v/>
      </c>
      <c r="S224" s="336">
        <f>IF(COUNTIFS($A$5:$A$148,$A224,$C$5:$C$148,$B224,$E$5:$E$148,"是",$U$5:$U$148,"&gt;=0")=3,AVERAGEIFS($U$5:$U$148,$A$5:$A$148,$A224,$C$5:$C$148,$B224,$E$5:$E$148,"是"),"")</f>
        <v/>
      </c>
      <c r="T224" s="336">
        <f>IF(COUNTIFS($A$5:$A$148,$A224,$C$5:$C$148,$B224,$E$5:$E$148,"是",$V$5:$V$148,"&gt;=0")=3,AVERAGEIFS($V$5:$V$148,$A$5:$A$148,$A224,$C$5:$C$148,$B224,$E$5:$E$148,"是"),"")</f>
        <v/>
      </c>
      <c r="U224" s="336">
        <f>COUNTIFS($A$5:$A$148,$A224,$C$5:$C$148,$B224,$E$5:$E$148,"是")</f>
        <v/>
      </c>
    </row>
    <row r="225">
      <c r="A225" s="335">
        <f>Participants!A25</f>
        <v/>
      </c>
      <c r="B225" s="335" t="inlineStr">
        <is>
          <t>EgoAnchor</t>
        </is>
      </c>
      <c r="C225" s="336">
        <f>IF(COUNTIFS($A$5:$A$148,$A225,$C$5:$C$148,$B225,$E$5:$E$148,"是",$F$5:$F$148,"&gt;=0")=3,AVERAGEIFS($F$5:$F$148,$A$5:$A$148,$A225,$C$5:$C$148,$B225,$E$5:$E$148,"是"),"")</f>
        <v/>
      </c>
      <c r="D225" s="336">
        <f>IF(COUNTIFS($A$5:$A$148,$A225,$C$5:$C$148,$B225,$E$5:$E$148,"是",$G$5:$G$148,"&gt;=0")=3,AVERAGEIFS($G$5:$G$148,$A$5:$A$148,$A225,$C$5:$C$148,$B225,$E$5:$E$148,"是"),"")</f>
        <v/>
      </c>
      <c r="E225" s="336">
        <f>IF(COUNTIFS($A$5:$A$148,$A225,$C$5:$C$148,$B225,$E$5:$E$148,"是",$H$5:$H$148,"&gt;=0")=3,AVERAGEIFS($H$5:$H$148,$A$5:$A$148,$A225,$C$5:$C$148,$B225,$E$5:$E$148,"是"),"")</f>
        <v/>
      </c>
      <c r="F225" s="336">
        <f>IF(COUNTIFS($A$5:$A$148,$A225,$C$5:$C$148,$B225,$E$5:$E$148,"是",$I$5:$I$148,"&gt;=0")=3,AVERAGEIFS($I$5:$I$148,$A$5:$A$148,$A225,$C$5:$C$148,$B225,$E$5:$E$148,"是"),"")</f>
        <v/>
      </c>
      <c r="G225" s="336">
        <f>IF(COUNTIFS($A$5:$A$148,$A225,$C$5:$C$148,$B225,$E$5:$E$148,"是",$J$5:$J$148,"&gt;=0")=3,AVERAGEIFS($J$5:$J$148,$A$5:$A$148,$A225,$C$5:$C$148,$B225,$E$5:$E$148,"是"),"")</f>
        <v/>
      </c>
      <c r="H225" s="336">
        <f>IF(COUNTIFS($A$5:$A$148,$A225,$C$5:$C$148,$B225,$E$5:$E$148,"是",$K$5:$K$148,"&gt;=0")=3,AVERAGEIFS($K$5:$K$148,$A$5:$A$148,$A225,$C$5:$C$148,$B225,$E$5:$E$148,"是"),"")</f>
        <v/>
      </c>
      <c r="I225" s="336">
        <f>IF(COUNTIFS($A$5:$A$148,$A225,$C$5:$C$148,$B225,$E$5:$E$148,"是",$L$5:$L$148,"&gt;=0")=3,AVERAGEIFS($L$5:$L$148,$A$5:$A$148,$A225,$C$5:$C$148,$B225,$E$5:$E$148,"是"),"")</f>
        <v/>
      </c>
      <c r="J225" s="336">
        <f>IF(COUNTIFS($A$5:$A$148,$A225,$C$5:$C$148,$B225,$E$5:$E$148,"是",$M$5:$M$148,"&gt;=0")=3,AVERAGEIFS($M$5:$M$148,$A$5:$A$148,$A225,$C$5:$C$148,$B225,$E$5:$E$148,"是"),"")</f>
        <v/>
      </c>
      <c r="K225" s="336">
        <f>IF(COUNTIFS($A$5:$A$148,$A225,$C$5:$C$148,$B225,$E$5:$E$148,"是",$N$5:$N$148,"&gt;=0")=3,AVERAGEIFS($N$5:$N$148,$A$5:$A$148,$A225,$C$5:$C$148,$B225,$E$5:$E$148,"是"),"")</f>
        <v/>
      </c>
      <c r="L225" s="336">
        <f>IF(COUNTIFS($A$152:$A$199,$A225,$B$152:$B$199,$B225,$D$152:$D$199,"是",$R$152:$R$199,"&gt;=0")=1,AVERAGEIFS($R$152:$R$199,$A$152:$A$199,$A225,$B$152:$B$199,$B225,$D$152:$D$199,"是"),"")</f>
        <v/>
      </c>
      <c r="M225" s="336">
        <f>IF(COUNTIFS($A$152:$A$199,$A225,$B$152:$B$199,$B225,$D$152:$D$199,"是",$S$152:$S$199,"&gt;=0")=1,AVERAGEIFS($S$152:$S$199,$A$152:$A$199,$A225,$B$152:$B$199,$B225,$D$152:$D$199,"是"),"")</f>
        <v/>
      </c>
      <c r="N225" s="336">
        <f>IF(COUNTIFS($A$152:$A$199,$A225,$B$152:$B$199,$B225,$D$152:$D$199,"是",$T$152:$T$199,"&gt;=0")=1,AVERAGEIFS($T$152:$T$199,$A$152:$A$199,$A225,$B$152:$B$199,$B225,$D$152:$D$199,"是"),"")</f>
        <v/>
      </c>
      <c r="O225" s="336">
        <f>IF(COUNTIFS($A$5:$A$148,$A225,$C$5:$C$148,$B225,$E$5:$E$148,"是",$O$5:$O$148,"&gt;=0")=3,AVERAGEIFS($O$5:$O$148,$A$5:$A$148,$A225,$C$5:$C$148,$B225,$E$5:$E$148,"是"),"")</f>
        <v/>
      </c>
      <c r="P225" s="336">
        <f>IF(COUNTIFS($A$5:$A$148,$A225,$C$5:$C$148,$B225,$E$5:$E$148,"是",$R$5:$R$148,"&gt;=0")=3,AVERAGEIFS($R$5:$R$148,$A$5:$A$148,$A225,$C$5:$C$148,$B225,$E$5:$E$148,"是"),"")</f>
        <v/>
      </c>
      <c r="Q225" s="336">
        <f>IF(COUNTIFS($A$5:$A$148,$A225,$C$5:$C$148,$B225,$E$5:$E$148,"是",$S$5:$S$148,"&gt;=0")=3,AVERAGEIFS($S$5:$S$148,$A$5:$A$148,$A225,$C$5:$C$148,$B225,$E$5:$E$148,"是"),"")</f>
        <v/>
      </c>
      <c r="R225" s="336">
        <f>IF(COUNTIFS($A$5:$A$148,$A225,$C$5:$C$148,$B225,$E$5:$E$148,"是",$T$5:$T$148,"&gt;=0")=3,AVERAGEIFS($T$5:$T$148,$A$5:$A$148,$A225,$C$5:$C$148,$B225,$E$5:$E$148,"是"),"")</f>
        <v/>
      </c>
      <c r="S225" s="336">
        <f>IF(COUNTIFS($A$5:$A$148,$A225,$C$5:$C$148,$B225,$E$5:$E$148,"是",$U$5:$U$148,"&gt;=0")=3,AVERAGEIFS($U$5:$U$148,$A$5:$A$148,$A225,$C$5:$C$148,$B225,$E$5:$E$148,"是"),"")</f>
        <v/>
      </c>
      <c r="T225" s="336">
        <f>IF(COUNTIFS($A$5:$A$148,$A225,$C$5:$C$148,$B225,$E$5:$E$148,"是",$V$5:$V$148,"&gt;=0")=3,AVERAGEIFS($V$5:$V$148,$A$5:$A$148,$A225,$C$5:$C$148,$B225,$E$5:$E$148,"是"),"")</f>
        <v/>
      </c>
      <c r="U225" s="336">
        <f>COUNTIFS($A$5:$A$148,$A225,$C$5:$C$148,$B225,$E$5:$E$148,"是")</f>
        <v/>
      </c>
    </row>
    <row r="226">
      <c r="A226" s="335">
        <f>Participants!A26</f>
        <v/>
      </c>
      <c r="B226" s="335" t="inlineStr">
        <is>
          <t>EgoAnchor</t>
        </is>
      </c>
      <c r="C226" s="336">
        <f>IF(COUNTIFS($A$5:$A$148,$A226,$C$5:$C$148,$B226,$E$5:$E$148,"是",$F$5:$F$148,"&gt;=0")=3,AVERAGEIFS($F$5:$F$148,$A$5:$A$148,$A226,$C$5:$C$148,$B226,$E$5:$E$148,"是"),"")</f>
        <v/>
      </c>
      <c r="D226" s="336">
        <f>IF(COUNTIFS($A$5:$A$148,$A226,$C$5:$C$148,$B226,$E$5:$E$148,"是",$G$5:$G$148,"&gt;=0")=3,AVERAGEIFS($G$5:$G$148,$A$5:$A$148,$A226,$C$5:$C$148,$B226,$E$5:$E$148,"是"),"")</f>
        <v/>
      </c>
      <c r="E226" s="336">
        <f>IF(COUNTIFS($A$5:$A$148,$A226,$C$5:$C$148,$B226,$E$5:$E$148,"是",$H$5:$H$148,"&gt;=0")=3,AVERAGEIFS($H$5:$H$148,$A$5:$A$148,$A226,$C$5:$C$148,$B226,$E$5:$E$148,"是"),"")</f>
        <v/>
      </c>
      <c r="F226" s="336">
        <f>IF(COUNTIFS($A$5:$A$148,$A226,$C$5:$C$148,$B226,$E$5:$E$148,"是",$I$5:$I$148,"&gt;=0")=3,AVERAGEIFS($I$5:$I$148,$A$5:$A$148,$A226,$C$5:$C$148,$B226,$E$5:$E$148,"是"),"")</f>
        <v/>
      </c>
      <c r="G226" s="336">
        <f>IF(COUNTIFS($A$5:$A$148,$A226,$C$5:$C$148,$B226,$E$5:$E$148,"是",$J$5:$J$148,"&gt;=0")=3,AVERAGEIFS($J$5:$J$148,$A$5:$A$148,$A226,$C$5:$C$148,$B226,$E$5:$E$148,"是"),"")</f>
        <v/>
      </c>
      <c r="H226" s="336">
        <f>IF(COUNTIFS($A$5:$A$148,$A226,$C$5:$C$148,$B226,$E$5:$E$148,"是",$K$5:$K$148,"&gt;=0")=3,AVERAGEIFS($K$5:$K$148,$A$5:$A$148,$A226,$C$5:$C$148,$B226,$E$5:$E$148,"是"),"")</f>
        <v/>
      </c>
      <c r="I226" s="336">
        <f>IF(COUNTIFS($A$5:$A$148,$A226,$C$5:$C$148,$B226,$E$5:$E$148,"是",$L$5:$L$148,"&gt;=0")=3,AVERAGEIFS($L$5:$L$148,$A$5:$A$148,$A226,$C$5:$C$148,$B226,$E$5:$E$148,"是"),"")</f>
        <v/>
      </c>
      <c r="J226" s="336">
        <f>IF(COUNTIFS($A$5:$A$148,$A226,$C$5:$C$148,$B226,$E$5:$E$148,"是",$M$5:$M$148,"&gt;=0")=3,AVERAGEIFS($M$5:$M$148,$A$5:$A$148,$A226,$C$5:$C$148,$B226,$E$5:$E$148,"是"),"")</f>
        <v/>
      </c>
      <c r="K226" s="336">
        <f>IF(COUNTIFS($A$5:$A$148,$A226,$C$5:$C$148,$B226,$E$5:$E$148,"是",$N$5:$N$148,"&gt;=0")=3,AVERAGEIFS($N$5:$N$148,$A$5:$A$148,$A226,$C$5:$C$148,$B226,$E$5:$E$148,"是"),"")</f>
        <v/>
      </c>
      <c r="L226" s="336">
        <f>IF(COUNTIFS($A$152:$A$199,$A226,$B$152:$B$199,$B226,$D$152:$D$199,"是",$R$152:$R$199,"&gt;=0")=1,AVERAGEIFS($R$152:$R$199,$A$152:$A$199,$A226,$B$152:$B$199,$B226,$D$152:$D$199,"是"),"")</f>
        <v/>
      </c>
      <c r="M226" s="336">
        <f>IF(COUNTIFS($A$152:$A$199,$A226,$B$152:$B$199,$B226,$D$152:$D$199,"是",$S$152:$S$199,"&gt;=0")=1,AVERAGEIFS($S$152:$S$199,$A$152:$A$199,$A226,$B$152:$B$199,$B226,$D$152:$D$199,"是"),"")</f>
        <v/>
      </c>
      <c r="N226" s="336">
        <f>IF(COUNTIFS($A$152:$A$199,$A226,$B$152:$B$199,$B226,$D$152:$D$199,"是",$T$152:$T$199,"&gt;=0")=1,AVERAGEIFS($T$152:$T$199,$A$152:$A$199,$A226,$B$152:$B$199,$B226,$D$152:$D$199,"是"),"")</f>
        <v/>
      </c>
      <c r="O226" s="336">
        <f>IF(COUNTIFS($A$5:$A$148,$A226,$C$5:$C$148,$B226,$E$5:$E$148,"是",$O$5:$O$148,"&gt;=0")=3,AVERAGEIFS($O$5:$O$148,$A$5:$A$148,$A226,$C$5:$C$148,$B226,$E$5:$E$148,"是"),"")</f>
        <v/>
      </c>
      <c r="P226" s="336">
        <f>IF(COUNTIFS($A$5:$A$148,$A226,$C$5:$C$148,$B226,$E$5:$E$148,"是",$R$5:$R$148,"&gt;=0")=3,AVERAGEIFS($R$5:$R$148,$A$5:$A$148,$A226,$C$5:$C$148,$B226,$E$5:$E$148,"是"),"")</f>
        <v/>
      </c>
      <c r="Q226" s="336">
        <f>IF(COUNTIFS($A$5:$A$148,$A226,$C$5:$C$148,$B226,$E$5:$E$148,"是",$S$5:$S$148,"&gt;=0")=3,AVERAGEIFS($S$5:$S$148,$A$5:$A$148,$A226,$C$5:$C$148,$B226,$E$5:$E$148,"是"),"")</f>
        <v/>
      </c>
      <c r="R226" s="336">
        <f>IF(COUNTIFS($A$5:$A$148,$A226,$C$5:$C$148,$B226,$E$5:$E$148,"是",$T$5:$T$148,"&gt;=0")=3,AVERAGEIFS($T$5:$T$148,$A$5:$A$148,$A226,$C$5:$C$148,$B226,$E$5:$E$148,"是"),"")</f>
        <v/>
      </c>
      <c r="S226" s="336">
        <f>IF(COUNTIFS($A$5:$A$148,$A226,$C$5:$C$148,$B226,$E$5:$E$148,"是",$U$5:$U$148,"&gt;=0")=3,AVERAGEIFS($U$5:$U$148,$A$5:$A$148,$A226,$C$5:$C$148,$B226,$E$5:$E$148,"是"),"")</f>
        <v/>
      </c>
      <c r="T226" s="336">
        <f>IF(COUNTIFS($A$5:$A$148,$A226,$C$5:$C$148,$B226,$E$5:$E$148,"是",$V$5:$V$148,"&gt;=0")=3,AVERAGEIFS($V$5:$V$148,$A$5:$A$148,$A226,$C$5:$C$148,$B226,$E$5:$E$148,"是"),"")</f>
        <v/>
      </c>
      <c r="U226" s="336">
        <f>COUNTIFS($A$5:$A$148,$A226,$C$5:$C$148,$B226,$E$5:$E$148,"是")</f>
        <v/>
      </c>
    </row>
    <row r="227">
      <c r="A227" s="335">
        <f>Participants!A3</f>
        <v/>
      </c>
      <c r="B227" s="335" t="inlineStr">
        <is>
          <t>One-Euro</t>
        </is>
      </c>
      <c r="C227" s="336">
        <f>IF(COUNTIFS($A$5:$A$148,$A227,$C$5:$C$148,$B227,$E$5:$E$148,"是",$F$5:$F$148,"&gt;=0")=3,AVERAGEIFS($F$5:$F$148,$A$5:$A$148,$A227,$C$5:$C$148,$B227,$E$5:$E$148,"是"),"")</f>
        <v/>
      </c>
      <c r="D227" s="336">
        <f>IF(COUNTIFS($A$5:$A$148,$A227,$C$5:$C$148,$B227,$E$5:$E$148,"是",$G$5:$G$148,"&gt;=0")=3,AVERAGEIFS($G$5:$G$148,$A$5:$A$148,$A227,$C$5:$C$148,$B227,$E$5:$E$148,"是"),"")</f>
        <v/>
      </c>
      <c r="E227" s="336">
        <f>IF(COUNTIFS($A$5:$A$148,$A227,$C$5:$C$148,$B227,$E$5:$E$148,"是",$H$5:$H$148,"&gt;=0")=3,AVERAGEIFS($H$5:$H$148,$A$5:$A$148,$A227,$C$5:$C$148,$B227,$E$5:$E$148,"是"),"")</f>
        <v/>
      </c>
      <c r="F227" s="336">
        <f>IF(COUNTIFS($A$5:$A$148,$A227,$C$5:$C$148,$B227,$E$5:$E$148,"是",$I$5:$I$148,"&gt;=0")=3,AVERAGEIFS($I$5:$I$148,$A$5:$A$148,$A227,$C$5:$C$148,$B227,$E$5:$E$148,"是"),"")</f>
        <v/>
      </c>
      <c r="G227" s="336">
        <f>IF(COUNTIFS($A$5:$A$148,$A227,$C$5:$C$148,$B227,$E$5:$E$148,"是",$J$5:$J$148,"&gt;=0")=3,AVERAGEIFS($J$5:$J$148,$A$5:$A$148,$A227,$C$5:$C$148,$B227,$E$5:$E$148,"是"),"")</f>
        <v/>
      </c>
      <c r="H227" s="336">
        <f>IF(COUNTIFS($A$5:$A$148,$A227,$C$5:$C$148,$B227,$E$5:$E$148,"是",$K$5:$K$148,"&gt;=0")=3,AVERAGEIFS($K$5:$K$148,$A$5:$A$148,$A227,$C$5:$C$148,$B227,$E$5:$E$148,"是"),"")</f>
        <v/>
      </c>
      <c r="I227" s="336">
        <f>IF(COUNTIFS($A$5:$A$148,$A227,$C$5:$C$148,$B227,$E$5:$E$148,"是",$L$5:$L$148,"&gt;=0")=3,AVERAGEIFS($L$5:$L$148,$A$5:$A$148,$A227,$C$5:$C$148,$B227,$E$5:$E$148,"是"),"")</f>
        <v/>
      </c>
      <c r="J227" s="336">
        <f>IF(COUNTIFS($A$5:$A$148,$A227,$C$5:$C$148,$B227,$E$5:$E$148,"是",$M$5:$M$148,"&gt;=0")=3,AVERAGEIFS($M$5:$M$148,$A$5:$A$148,$A227,$C$5:$C$148,$B227,$E$5:$E$148,"是"),"")</f>
        <v/>
      </c>
      <c r="K227" s="336">
        <f>IF(COUNTIFS($A$5:$A$148,$A227,$C$5:$C$148,$B227,$E$5:$E$148,"是",$N$5:$N$148,"&gt;=0")=3,AVERAGEIFS($N$5:$N$148,$A$5:$A$148,$A227,$C$5:$C$148,$B227,$E$5:$E$148,"是"),"")</f>
        <v/>
      </c>
      <c r="L227" s="336">
        <f>IF(COUNTIFS($A$152:$A$199,$A227,$B$152:$B$199,$B227,$D$152:$D$199,"是",$R$152:$R$199,"&gt;=0")=1,AVERAGEIFS($R$152:$R$199,$A$152:$A$199,$A227,$B$152:$B$199,$B227,$D$152:$D$199,"是"),"")</f>
        <v/>
      </c>
      <c r="M227" s="336">
        <f>IF(COUNTIFS($A$152:$A$199,$A227,$B$152:$B$199,$B227,$D$152:$D$199,"是",$S$152:$S$199,"&gt;=0")=1,AVERAGEIFS($S$152:$S$199,$A$152:$A$199,$A227,$B$152:$B$199,$B227,$D$152:$D$199,"是"),"")</f>
        <v/>
      </c>
      <c r="N227" s="336">
        <f>IF(COUNTIFS($A$152:$A$199,$A227,$B$152:$B$199,$B227,$D$152:$D$199,"是",$T$152:$T$199,"&gt;=0")=1,AVERAGEIFS($T$152:$T$199,$A$152:$A$199,$A227,$B$152:$B$199,$B227,$D$152:$D$199,"是"),"")</f>
        <v/>
      </c>
      <c r="O227" s="336">
        <f>IF(COUNTIFS($A$5:$A$148,$A227,$C$5:$C$148,$B227,$E$5:$E$148,"是",$O$5:$O$148,"&gt;=0")=3,AVERAGEIFS($O$5:$O$148,$A$5:$A$148,$A227,$C$5:$C$148,$B227,$E$5:$E$148,"是"),"")</f>
        <v/>
      </c>
      <c r="P227" s="336">
        <f>IF(COUNTIFS($A$5:$A$148,$A227,$C$5:$C$148,$B227,$E$5:$E$148,"是",$R$5:$R$148,"&gt;=0")=3,AVERAGEIFS($R$5:$R$148,$A$5:$A$148,$A227,$C$5:$C$148,$B227,$E$5:$E$148,"是"),"")</f>
        <v/>
      </c>
      <c r="Q227" s="336">
        <f>IF(COUNTIFS($A$5:$A$148,$A227,$C$5:$C$148,$B227,$E$5:$E$148,"是",$S$5:$S$148,"&gt;=0")=3,AVERAGEIFS($S$5:$S$148,$A$5:$A$148,$A227,$C$5:$C$148,$B227,$E$5:$E$148,"是"),"")</f>
        <v/>
      </c>
      <c r="R227" s="336">
        <f>IF(COUNTIFS($A$5:$A$148,$A227,$C$5:$C$148,$B227,$E$5:$E$148,"是",$T$5:$T$148,"&gt;=0")=3,AVERAGEIFS($T$5:$T$148,$A$5:$A$148,$A227,$C$5:$C$148,$B227,$E$5:$E$148,"是"),"")</f>
        <v/>
      </c>
      <c r="S227" s="336">
        <f>IF(COUNTIFS($A$5:$A$148,$A227,$C$5:$C$148,$B227,$E$5:$E$148,"是",$U$5:$U$148,"&gt;=0")=3,AVERAGEIFS($U$5:$U$148,$A$5:$A$148,$A227,$C$5:$C$148,$B227,$E$5:$E$148,"是"),"")</f>
        <v/>
      </c>
      <c r="T227" s="336">
        <f>IF(COUNTIFS($A$5:$A$148,$A227,$C$5:$C$148,$B227,$E$5:$E$148,"是",$V$5:$V$148,"&gt;=0")=3,AVERAGEIFS($V$5:$V$148,$A$5:$A$148,$A227,$C$5:$C$148,$B227,$E$5:$E$148,"是"),"")</f>
        <v/>
      </c>
      <c r="U227" s="336">
        <f>COUNTIFS($A$5:$A$148,$A227,$C$5:$C$148,$B227,$E$5:$E$148,"是")</f>
        <v/>
      </c>
    </row>
    <row r="228">
      <c r="A228" s="335">
        <f>Participants!A4</f>
        <v/>
      </c>
      <c r="B228" s="335" t="inlineStr">
        <is>
          <t>One-Euro</t>
        </is>
      </c>
      <c r="C228" s="336">
        <f>IF(COUNTIFS($A$5:$A$148,$A228,$C$5:$C$148,$B228,$E$5:$E$148,"是",$F$5:$F$148,"&gt;=0")=3,AVERAGEIFS($F$5:$F$148,$A$5:$A$148,$A228,$C$5:$C$148,$B228,$E$5:$E$148,"是"),"")</f>
        <v/>
      </c>
      <c r="D228" s="336">
        <f>IF(COUNTIFS($A$5:$A$148,$A228,$C$5:$C$148,$B228,$E$5:$E$148,"是",$G$5:$G$148,"&gt;=0")=3,AVERAGEIFS($G$5:$G$148,$A$5:$A$148,$A228,$C$5:$C$148,$B228,$E$5:$E$148,"是"),"")</f>
        <v/>
      </c>
      <c r="E228" s="336">
        <f>IF(COUNTIFS($A$5:$A$148,$A228,$C$5:$C$148,$B228,$E$5:$E$148,"是",$H$5:$H$148,"&gt;=0")=3,AVERAGEIFS($H$5:$H$148,$A$5:$A$148,$A228,$C$5:$C$148,$B228,$E$5:$E$148,"是"),"")</f>
        <v/>
      </c>
      <c r="F228" s="336">
        <f>IF(COUNTIFS($A$5:$A$148,$A228,$C$5:$C$148,$B228,$E$5:$E$148,"是",$I$5:$I$148,"&gt;=0")=3,AVERAGEIFS($I$5:$I$148,$A$5:$A$148,$A228,$C$5:$C$148,$B228,$E$5:$E$148,"是"),"")</f>
        <v/>
      </c>
      <c r="G228" s="336">
        <f>IF(COUNTIFS($A$5:$A$148,$A228,$C$5:$C$148,$B228,$E$5:$E$148,"是",$J$5:$J$148,"&gt;=0")=3,AVERAGEIFS($J$5:$J$148,$A$5:$A$148,$A228,$C$5:$C$148,$B228,$E$5:$E$148,"是"),"")</f>
        <v/>
      </c>
      <c r="H228" s="336">
        <f>IF(COUNTIFS($A$5:$A$148,$A228,$C$5:$C$148,$B228,$E$5:$E$148,"是",$K$5:$K$148,"&gt;=0")=3,AVERAGEIFS($K$5:$K$148,$A$5:$A$148,$A228,$C$5:$C$148,$B228,$E$5:$E$148,"是"),"")</f>
        <v/>
      </c>
      <c r="I228" s="336">
        <f>IF(COUNTIFS($A$5:$A$148,$A228,$C$5:$C$148,$B228,$E$5:$E$148,"是",$L$5:$L$148,"&gt;=0")=3,AVERAGEIFS($L$5:$L$148,$A$5:$A$148,$A228,$C$5:$C$148,$B228,$E$5:$E$148,"是"),"")</f>
        <v/>
      </c>
      <c r="J228" s="336">
        <f>IF(COUNTIFS($A$5:$A$148,$A228,$C$5:$C$148,$B228,$E$5:$E$148,"是",$M$5:$M$148,"&gt;=0")=3,AVERAGEIFS($M$5:$M$148,$A$5:$A$148,$A228,$C$5:$C$148,$B228,$E$5:$E$148,"是"),"")</f>
        <v/>
      </c>
      <c r="K228" s="336">
        <f>IF(COUNTIFS($A$5:$A$148,$A228,$C$5:$C$148,$B228,$E$5:$E$148,"是",$N$5:$N$148,"&gt;=0")=3,AVERAGEIFS($N$5:$N$148,$A$5:$A$148,$A228,$C$5:$C$148,$B228,$E$5:$E$148,"是"),"")</f>
        <v/>
      </c>
      <c r="L228" s="336">
        <f>IF(COUNTIFS($A$152:$A$199,$A228,$B$152:$B$199,$B228,$D$152:$D$199,"是",$R$152:$R$199,"&gt;=0")=1,AVERAGEIFS($R$152:$R$199,$A$152:$A$199,$A228,$B$152:$B$199,$B228,$D$152:$D$199,"是"),"")</f>
        <v/>
      </c>
      <c r="M228" s="336">
        <f>IF(COUNTIFS($A$152:$A$199,$A228,$B$152:$B$199,$B228,$D$152:$D$199,"是",$S$152:$S$199,"&gt;=0")=1,AVERAGEIFS($S$152:$S$199,$A$152:$A$199,$A228,$B$152:$B$199,$B228,$D$152:$D$199,"是"),"")</f>
        <v/>
      </c>
      <c r="N228" s="336">
        <f>IF(COUNTIFS($A$152:$A$199,$A228,$B$152:$B$199,$B228,$D$152:$D$199,"是",$T$152:$T$199,"&gt;=0")=1,AVERAGEIFS($T$152:$T$199,$A$152:$A$199,$A228,$B$152:$B$199,$B228,$D$152:$D$199,"是"),"")</f>
        <v/>
      </c>
      <c r="O228" s="336">
        <f>IF(COUNTIFS($A$5:$A$148,$A228,$C$5:$C$148,$B228,$E$5:$E$148,"是",$O$5:$O$148,"&gt;=0")=3,AVERAGEIFS($O$5:$O$148,$A$5:$A$148,$A228,$C$5:$C$148,$B228,$E$5:$E$148,"是"),"")</f>
        <v/>
      </c>
      <c r="P228" s="336">
        <f>IF(COUNTIFS($A$5:$A$148,$A228,$C$5:$C$148,$B228,$E$5:$E$148,"是",$R$5:$R$148,"&gt;=0")=3,AVERAGEIFS($R$5:$R$148,$A$5:$A$148,$A228,$C$5:$C$148,$B228,$E$5:$E$148,"是"),"")</f>
        <v/>
      </c>
      <c r="Q228" s="336">
        <f>IF(COUNTIFS($A$5:$A$148,$A228,$C$5:$C$148,$B228,$E$5:$E$148,"是",$S$5:$S$148,"&gt;=0")=3,AVERAGEIFS($S$5:$S$148,$A$5:$A$148,$A228,$C$5:$C$148,$B228,$E$5:$E$148,"是"),"")</f>
        <v/>
      </c>
      <c r="R228" s="336">
        <f>IF(COUNTIFS($A$5:$A$148,$A228,$C$5:$C$148,$B228,$E$5:$E$148,"是",$T$5:$T$148,"&gt;=0")=3,AVERAGEIFS($T$5:$T$148,$A$5:$A$148,$A228,$C$5:$C$148,$B228,$E$5:$E$148,"是"),"")</f>
        <v/>
      </c>
      <c r="S228" s="336">
        <f>IF(COUNTIFS($A$5:$A$148,$A228,$C$5:$C$148,$B228,$E$5:$E$148,"是",$U$5:$U$148,"&gt;=0")=3,AVERAGEIFS($U$5:$U$148,$A$5:$A$148,$A228,$C$5:$C$148,$B228,$E$5:$E$148,"是"),"")</f>
        <v/>
      </c>
      <c r="T228" s="336">
        <f>IF(COUNTIFS($A$5:$A$148,$A228,$C$5:$C$148,$B228,$E$5:$E$148,"是",$V$5:$V$148,"&gt;=0")=3,AVERAGEIFS($V$5:$V$148,$A$5:$A$148,$A228,$C$5:$C$148,$B228,$E$5:$E$148,"是"),"")</f>
        <v/>
      </c>
      <c r="U228" s="336">
        <f>COUNTIFS($A$5:$A$148,$A228,$C$5:$C$148,$B228,$E$5:$E$148,"是")</f>
        <v/>
      </c>
    </row>
    <row r="229">
      <c r="A229" s="335">
        <f>Participants!A5</f>
        <v/>
      </c>
      <c r="B229" s="335" t="inlineStr">
        <is>
          <t>One-Euro</t>
        </is>
      </c>
      <c r="C229" s="336">
        <f>IF(COUNTIFS($A$5:$A$148,$A229,$C$5:$C$148,$B229,$E$5:$E$148,"是",$F$5:$F$148,"&gt;=0")=3,AVERAGEIFS($F$5:$F$148,$A$5:$A$148,$A229,$C$5:$C$148,$B229,$E$5:$E$148,"是"),"")</f>
        <v/>
      </c>
      <c r="D229" s="336">
        <f>IF(COUNTIFS($A$5:$A$148,$A229,$C$5:$C$148,$B229,$E$5:$E$148,"是",$G$5:$G$148,"&gt;=0")=3,AVERAGEIFS($G$5:$G$148,$A$5:$A$148,$A229,$C$5:$C$148,$B229,$E$5:$E$148,"是"),"")</f>
        <v/>
      </c>
      <c r="E229" s="336">
        <f>IF(COUNTIFS($A$5:$A$148,$A229,$C$5:$C$148,$B229,$E$5:$E$148,"是",$H$5:$H$148,"&gt;=0")=3,AVERAGEIFS($H$5:$H$148,$A$5:$A$148,$A229,$C$5:$C$148,$B229,$E$5:$E$148,"是"),"")</f>
        <v/>
      </c>
      <c r="F229" s="336">
        <f>IF(COUNTIFS($A$5:$A$148,$A229,$C$5:$C$148,$B229,$E$5:$E$148,"是",$I$5:$I$148,"&gt;=0")=3,AVERAGEIFS($I$5:$I$148,$A$5:$A$148,$A229,$C$5:$C$148,$B229,$E$5:$E$148,"是"),"")</f>
        <v/>
      </c>
      <c r="G229" s="336">
        <f>IF(COUNTIFS($A$5:$A$148,$A229,$C$5:$C$148,$B229,$E$5:$E$148,"是",$J$5:$J$148,"&gt;=0")=3,AVERAGEIFS($J$5:$J$148,$A$5:$A$148,$A229,$C$5:$C$148,$B229,$E$5:$E$148,"是"),"")</f>
        <v/>
      </c>
      <c r="H229" s="336">
        <f>IF(COUNTIFS($A$5:$A$148,$A229,$C$5:$C$148,$B229,$E$5:$E$148,"是",$K$5:$K$148,"&gt;=0")=3,AVERAGEIFS($K$5:$K$148,$A$5:$A$148,$A229,$C$5:$C$148,$B229,$E$5:$E$148,"是"),"")</f>
        <v/>
      </c>
      <c r="I229" s="336">
        <f>IF(COUNTIFS($A$5:$A$148,$A229,$C$5:$C$148,$B229,$E$5:$E$148,"是",$L$5:$L$148,"&gt;=0")=3,AVERAGEIFS($L$5:$L$148,$A$5:$A$148,$A229,$C$5:$C$148,$B229,$E$5:$E$148,"是"),"")</f>
        <v/>
      </c>
      <c r="J229" s="336">
        <f>IF(COUNTIFS($A$5:$A$148,$A229,$C$5:$C$148,$B229,$E$5:$E$148,"是",$M$5:$M$148,"&gt;=0")=3,AVERAGEIFS($M$5:$M$148,$A$5:$A$148,$A229,$C$5:$C$148,$B229,$E$5:$E$148,"是"),"")</f>
        <v/>
      </c>
      <c r="K229" s="336">
        <f>IF(COUNTIFS($A$5:$A$148,$A229,$C$5:$C$148,$B229,$E$5:$E$148,"是",$N$5:$N$148,"&gt;=0")=3,AVERAGEIFS($N$5:$N$148,$A$5:$A$148,$A229,$C$5:$C$148,$B229,$E$5:$E$148,"是"),"")</f>
        <v/>
      </c>
      <c r="L229" s="336">
        <f>IF(COUNTIFS($A$152:$A$199,$A229,$B$152:$B$199,$B229,$D$152:$D$199,"是",$R$152:$R$199,"&gt;=0")=1,AVERAGEIFS($R$152:$R$199,$A$152:$A$199,$A229,$B$152:$B$199,$B229,$D$152:$D$199,"是"),"")</f>
        <v/>
      </c>
      <c r="M229" s="336">
        <f>IF(COUNTIFS($A$152:$A$199,$A229,$B$152:$B$199,$B229,$D$152:$D$199,"是",$S$152:$S$199,"&gt;=0")=1,AVERAGEIFS($S$152:$S$199,$A$152:$A$199,$A229,$B$152:$B$199,$B229,$D$152:$D$199,"是"),"")</f>
        <v/>
      </c>
      <c r="N229" s="336">
        <f>IF(COUNTIFS($A$152:$A$199,$A229,$B$152:$B$199,$B229,$D$152:$D$199,"是",$T$152:$T$199,"&gt;=0")=1,AVERAGEIFS($T$152:$T$199,$A$152:$A$199,$A229,$B$152:$B$199,$B229,$D$152:$D$199,"是"),"")</f>
        <v/>
      </c>
      <c r="O229" s="336">
        <f>IF(COUNTIFS($A$5:$A$148,$A229,$C$5:$C$148,$B229,$E$5:$E$148,"是",$O$5:$O$148,"&gt;=0")=3,AVERAGEIFS($O$5:$O$148,$A$5:$A$148,$A229,$C$5:$C$148,$B229,$E$5:$E$148,"是"),"")</f>
        <v/>
      </c>
      <c r="P229" s="336">
        <f>IF(COUNTIFS($A$5:$A$148,$A229,$C$5:$C$148,$B229,$E$5:$E$148,"是",$R$5:$R$148,"&gt;=0")=3,AVERAGEIFS($R$5:$R$148,$A$5:$A$148,$A229,$C$5:$C$148,$B229,$E$5:$E$148,"是"),"")</f>
        <v/>
      </c>
      <c r="Q229" s="336">
        <f>IF(COUNTIFS($A$5:$A$148,$A229,$C$5:$C$148,$B229,$E$5:$E$148,"是",$S$5:$S$148,"&gt;=0")=3,AVERAGEIFS($S$5:$S$148,$A$5:$A$148,$A229,$C$5:$C$148,$B229,$E$5:$E$148,"是"),"")</f>
        <v/>
      </c>
      <c r="R229" s="336">
        <f>IF(COUNTIFS($A$5:$A$148,$A229,$C$5:$C$148,$B229,$E$5:$E$148,"是",$T$5:$T$148,"&gt;=0")=3,AVERAGEIFS($T$5:$T$148,$A$5:$A$148,$A229,$C$5:$C$148,$B229,$E$5:$E$148,"是"),"")</f>
        <v/>
      </c>
      <c r="S229" s="336">
        <f>IF(COUNTIFS($A$5:$A$148,$A229,$C$5:$C$148,$B229,$E$5:$E$148,"是",$U$5:$U$148,"&gt;=0")=3,AVERAGEIFS($U$5:$U$148,$A$5:$A$148,$A229,$C$5:$C$148,$B229,$E$5:$E$148,"是"),"")</f>
        <v/>
      </c>
      <c r="T229" s="336">
        <f>IF(COUNTIFS($A$5:$A$148,$A229,$C$5:$C$148,$B229,$E$5:$E$148,"是",$V$5:$V$148,"&gt;=0")=3,AVERAGEIFS($V$5:$V$148,$A$5:$A$148,$A229,$C$5:$C$148,$B229,$E$5:$E$148,"是"),"")</f>
        <v/>
      </c>
      <c r="U229" s="336">
        <f>COUNTIFS($A$5:$A$148,$A229,$C$5:$C$148,$B229,$E$5:$E$148,"是")</f>
        <v/>
      </c>
    </row>
    <row r="230">
      <c r="A230" s="335">
        <f>Participants!A6</f>
        <v/>
      </c>
      <c r="B230" s="335" t="inlineStr">
        <is>
          <t>One-Euro</t>
        </is>
      </c>
      <c r="C230" s="336">
        <f>IF(COUNTIFS($A$5:$A$148,$A230,$C$5:$C$148,$B230,$E$5:$E$148,"是",$F$5:$F$148,"&gt;=0")=3,AVERAGEIFS($F$5:$F$148,$A$5:$A$148,$A230,$C$5:$C$148,$B230,$E$5:$E$148,"是"),"")</f>
        <v/>
      </c>
      <c r="D230" s="336">
        <f>IF(COUNTIFS($A$5:$A$148,$A230,$C$5:$C$148,$B230,$E$5:$E$148,"是",$G$5:$G$148,"&gt;=0")=3,AVERAGEIFS($G$5:$G$148,$A$5:$A$148,$A230,$C$5:$C$148,$B230,$E$5:$E$148,"是"),"")</f>
        <v/>
      </c>
      <c r="E230" s="336">
        <f>IF(COUNTIFS($A$5:$A$148,$A230,$C$5:$C$148,$B230,$E$5:$E$148,"是",$H$5:$H$148,"&gt;=0")=3,AVERAGEIFS($H$5:$H$148,$A$5:$A$148,$A230,$C$5:$C$148,$B230,$E$5:$E$148,"是"),"")</f>
        <v/>
      </c>
      <c r="F230" s="336">
        <f>IF(COUNTIFS($A$5:$A$148,$A230,$C$5:$C$148,$B230,$E$5:$E$148,"是",$I$5:$I$148,"&gt;=0")=3,AVERAGEIFS($I$5:$I$148,$A$5:$A$148,$A230,$C$5:$C$148,$B230,$E$5:$E$148,"是"),"")</f>
        <v/>
      </c>
      <c r="G230" s="336">
        <f>IF(COUNTIFS($A$5:$A$148,$A230,$C$5:$C$148,$B230,$E$5:$E$148,"是",$J$5:$J$148,"&gt;=0")=3,AVERAGEIFS($J$5:$J$148,$A$5:$A$148,$A230,$C$5:$C$148,$B230,$E$5:$E$148,"是"),"")</f>
        <v/>
      </c>
      <c r="H230" s="336">
        <f>IF(COUNTIFS($A$5:$A$148,$A230,$C$5:$C$148,$B230,$E$5:$E$148,"是",$K$5:$K$148,"&gt;=0")=3,AVERAGEIFS($K$5:$K$148,$A$5:$A$148,$A230,$C$5:$C$148,$B230,$E$5:$E$148,"是"),"")</f>
        <v/>
      </c>
      <c r="I230" s="336">
        <f>IF(COUNTIFS($A$5:$A$148,$A230,$C$5:$C$148,$B230,$E$5:$E$148,"是",$L$5:$L$148,"&gt;=0")=3,AVERAGEIFS($L$5:$L$148,$A$5:$A$148,$A230,$C$5:$C$148,$B230,$E$5:$E$148,"是"),"")</f>
        <v/>
      </c>
      <c r="J230" s="336">
        <f>IF(COUNTIFS($A$5:$A$148,$A230,$C$5:$C$148,$B230,$E$5:$E$148,"是",$M$5:$M$148,"&gt;=0")=3,AVERAGEIFS($M$5:$M$148,$A$5:$A$148,$A230,$C$5:$C$148,$B230,$E$5:$E$148,"是"),"")</f>
        <v/>
      </c>
      <c r="K230" s="336">
        <f>IF(COUNTIFS($A$5:$A$148,$A230,$C$5:$C$148,$B230,$E$5:$E$148,"是",$N$5:$N$148,"&gt;=0")=3,AVERAGEIFS($N$5:$N$148,$A$5:$A$148,$A230,$C$5:$C$148,$B230,$E$5:$E$148,"是"),"")</f>
        <v/>
      </c>
      <c r="L230" s="336">
        <f>IF(COUNTIFS($A$152:$A$199,$A230,$B$152:$B$199,$B230,$D$152:$D$199,"是",$R$152:$R$199,"&gt;=0")=1,AVERAGEIFS($R$152:$R$199,$A$152:$A$199,$A230,$B$152:$B$199,$B230,$D$152:$D$199,"是"),"")</f>
        <v/>
      </c>
      <c r="M230" s="336">
        <f>IF(COUNTIFS($A$152:$A$199,$A230,$B$152:$B$199,$B230,$D$152:$D$199,"是",$S$152:$S$199,"&gt;=0")=1,AVERAGEIFS($S$152:$S$199,$A$152:$A$199,$A230,$B$152:$B$199,$B230,$D$152:$D$199,"是"),"")</f>
        <v/>
      </c>
      <c r="N230" s="336">
        <f>IF(COUNTIFS($A$152:$A$199,$A230,$B$152:$B$199,$B230,$D$152:$D$199,"是",$T$152:$T$199,"&gt;=0")=1,AVERAGEIFS($T$152:$T$199,$A$152:$A$199,$A230,$B$152:$B$199,$B230,$D$152:$D$199,"是"),"")</f>
        <v/>
      </c>
      <c r="O230" s="336">
        <f>IF(COUNTIFS($A$5:$A$148,$A230,$C$5:$C$148,$B230,$E$5:$E$148,"是",$O$5:$O$148,"&gt;=0")=3,AVERAGEIFS($O$5:$O$148,$A$5:$A$148,$A230,$C$5:$C$148,$B230,$E$5:$E$148,"是"),"")</f>
        <v/>
      </c>
      <c r="P230" s="336">
        <f>IF(COUNTIFS($A$5:$A$148,$A230,$C$5:$C$148,$B230,$E$5:$E$148,"是",$R$5:$R$148,"&gt;=0")=3,AVERAGEIFS($R$5:$R$148,$A$5:$A$148,$A230,$C$5:$C$148,$B230,$E$5:$E$148,"是"),"")</f>
        <v/>
      </c>
      <c r="Q230" s="336">
        <f>IF(COUNTIFS($A$5:$A$148,$A230,$C$5:$C$148,$B230,$E$5:$E$148,"是",$S$5:$S$148,"&gt;=0")=3,AVERAGEIFS($S$5:$S$148,$A$5:$A$148,$A230,$C$5:$C$148,$B230,$E$5:$E$148,"是"),"")</f>
        <v/>
      </c>
      <c r="R230" s="336">
        <f>IF(COUNTIFS($A$5:$A$148,$A230,$C$5:$C$148,$B230,$E$5:$E$148,"是",$T$5:$T$148,"&gt;=0")=3,AVERAGEIFS($T$5:$T$148,$A$5:$A$148,$A230,$C$5:$C$148,$B230,$E$5:$E$148,"是"),"")</f>
        <v/>
      </c>
      <c r="S230" s="336">
        <f>IF(COUNTIFS($A$5:$A$148,$A230,$C$5:$C$148,$B230,$E$5:$E$148,"是",$U$5:$U$148,"&gt;=0")=3,AVERAGEIFS($U$5:$U$148,$A$5:$A$148,$A230,$C$5:$C$148,$B230,$E$5:$E$148,"是"),"")</f>
        <v/>
      </c>
      <c r="T230" s="336">
        <f>IF(COUNTIFS($A$5:$A$148,$A230,$C$5:$C$148,$B230,$E$5:$E$148,"是",$V$5:$V$148,"&gt;=0")=3,AVERAGEIFS($V$5:$V$148,$A$5:$A$148,$A230,$C$5:$C$148,$B230,$E$5:$E$148,"是"),"")</f>
        <v/>
      </c>
      <c r="U230" s="336">
        <f>COUNTIFS($A$5:$A$148,$A230,$C$5:$C$148,$B230,$E$5:$E$148,"是")</f>
        <v/>
      </c>
    </row>
    <row r="231">
      <c r="A231" s="335">
        <f>Participants!A7</f>
        <v/>
      </c>
      <c r="B231" s="335" t="inlineStr">
        <is>
          <t>One-Euro</t>
        </is>
      </c>
      <c r="C231" s="336">
        <f>IF(COUNTIFS($A$5:$A$148,$A231,$C$5:$C$148,$B231,$E$5:$E$148,"是",$F$5:$F$148,"&gt;=0")=3,AVERAGEIFS($F$5:$F$148,$A$5:$A$148,$A231,$C$5:$C$148,$B231,$E$5:$E$148,"是"),"")</f>
        <v/>
      </c>
      <c r="D231" s="336">
        <f>IF(COUNTIFS($A$5:$A$148,$A231,$C$5:$C$148,$B231,$E$5:$E$148,"是",$G$5:$G$148,"&gt;=0")=3,AVERAGEIFS($G$5:$G$148,$A$5:$A$148,$A231,$C$5:$C$148,$B231,$E$5:$E$148,"是"),"")</f>
        <v/>
      </c>
      <c r="E231" s="336">
        <f>IF(COUNTIFS($A$5:$A$148,$A231,$C$5:$C$148,$B231,$E$5:$E$148,"是",$H$5:$H$148,"&gt;=0")=3,AVERAGEIFS($H$5:$H$148,$A$5:$A$148,$A231,$C$5:$C$148,$B231,$E$5:$E$148,"是"),"")</f>
        <v/>
      </c>
      <c r="F231" s="336">
        <f>IF(COUNTIFS($A$5:$A$148,$A231,$C$5:$C$148,$B231,$E$5:$E$148,"是",$I$5:$I$148,"&gt;=0")=3,AVERAGEIFS($I$5:$I$148,$A$5:$A$148,$A231,$C$5:$C$148,$B231,$E$5:$E$148,"是"),"")</f>
        <v/>
      </c>
      <c r="G231" s="336">
        <f>IF(COUNTIFS($A$5:$A$148,$A231,$C$5:$C$148,$B231,$E$5:$E$148,"是",$J$5:$J$148,"&gt;=0")=3,AVERAGEIFS($J$5:$J$148,$A$5:$A$148,$A231,$C$5:$C$148,$B231,$E$5:$E$148,"是"),"")</f>
        <v/>
      </c>
      <c r="H231" s="336">
        <f>IF(COUNTIFS($A$5:$A$148,$A231,$C$5:$C$148,$B231,$E$5:$E$148,"是",$K$5:$K$148,"&gt;=0")=3,AVERAGEIFS($K$5:$K$148,$A$5:$A$148,$A231,$C$5:$C$148,$B231,$E$5:$E$148,"是"),"")</f>
        <v/>
      </c>
      <c r="I231" s="336">
        <f>IF(COUNTIFS($A$5:$A$148,$A231,$C$5:$C$148,$B231,$E$5:$E$148,"是",$L$5:$L$148,"&gt;=0")=3,AVERAGEIFS($L$5:$L$148,$A$5:$A$148,$A231,$C$5:$C$148,$B231,$E$5:$E$148,"是"),"")</f>
        <v/>
      </c>
      <c r="J231" s="336">
        <f>IF(COUNTIFS($A$5:$A$148,$A231,$C$5:$C$148,$B231,$E$5:$E$148,"是",$M$5:$M$148,"&gt;=0")=3,AVERAGEIFS($M$5:$M$148,$A$5:$A$148,$A231,$C$5:$C$148,$B231,$E$5:$E$148,"是"),"")</f>
        <v/>
      </c>
      <c r="K231" s="336">
        <f>IF(COUNTIFS($A$5:$A$148,$A231,$C$5:$C$148,$B231,$E$5:$E$148,"是",$N$5:$N$148,"&gt;=0")=3,AVERAGEIFS($N$5:$N$148,$A$5:$A$148,$A231,$C$5:$C$148,$B231,$E$5:$E$148,"是"),"")</f>
        <v/>
      </c>
      <c r="L231" s="336">
        <f>IF(COUNTIFS($A$152:$A$199,$A231,$B$152:$B$199,$B231,$D$152:$D$199,"是",$R$152:$R$199,"&gt;=0")=1,AVERAGEIFS($R$152:$R$199,$A$152:$A$199,$A231,$B$152:$B$199,$B231,$D$152:$D$199,"是"),"")</f>
        <v/>
      </c>
      <c r="M231" s="336">
        <f>IF(COUNTIFS($A$152:$A$199,$A231,$B$152:$B$199,$B231,$D$152:$D$199,"是",$S$152:$S$199,"&gt;=0")=1,AVERAGEIFS($S$152:$S$199,$A$152:$A$199,$A231,$B$152:$B$199,$B231,$D$152:$D$199,"是"),"")</f>
        <v/>
      </c>
      <c r="N231" s="336">
        <f>IF(COUNTIFS($A$152:$A$199,$A231,$B$152:$B$199,$B231,$D$152:$D$199,"是",$T$152:$T$199,"&gt;=0")=1,AVERAGEIFS($T$152:$T$199,$A$152:$A$199,$A231,$B$152:$B$199,$B231,$D$152:$D$199,"是"),"")</f>
        <v/>
      </c>
      <c r="O231" s="336">
        <f>IF(COUNTIFS($A$5:$A$148,$A231,$C$5:$C$148,$B231,$E$5:$E$148,"是",$O$5:$O$148,"&gt;=0")=3,AVERAGEIFS($O$5:$O$148,$A$5:$A$148,$A231,$C$5:$C$148,$B231,$E$5:$E$148,"是"),"")</f>
        <v/>
      </c>
      <c r="P231" s="336">
        <f>IF(COUNTIFS($A$5:$A$148,$A231,$C$5:$C$148,$B231,$E$5:$E$148,"是",$R$5:$R$148,"&gt;=0")=3,AVERAGEIFS($R$5:$R$148,$A$5:$A$148,$A231,$C$5:$C$148,$B231,$E$5:$E$148,"是"),"")</f>
        <v/>
      </c>
      <c r="Q231" s="336">
        <f>IF(COUNTIFS($A$5:$A$148,$A231,$C$5:$C$148,$B231,$E$5:$E$148,"是",$S$5:$S$148,"&gt;=0")=3,AVERAGEIFS($S$5:$S$148,$A$5:$A$148,$A231,$C$5:$C$148,$B231,$E$5:$E$148,"是"),"")</f>
        <v/>
      </c>
      <c r="R231" s="336">
        <f>IF(COUNTIFS($A$5:$A$148,$A231,$C$5:$C$148,$B231,$E$5:$E$148,"是",$T$5:$T$148,"&gt;=0")=3,AVERAGEIFS($T$5:$T$148,$A$5:$A$148,$A231,$C$5:$C$148,$B231,$E$5:$E$148,"是"),"")</f>
        <v/>
      </c>
      <c r="S231" s="336">
        <f>IF(COUNTIFS($A$5:$A$148,$A231,$C$5:$C$148,$B231,$E$5:$E$148,"是",$U$5:$U$148,"&gt;=0")=3,AVERAGEIFS($U$5:$U$148,$A$5:$A$148,$A231,$C$5:$C$148,$B231,$E$5:$E$148,"是"),"")</f>
        <v/>
      </c>
      <c r="T231" s="336">
        <f>IF(COUNTIFS($A$5:$A$148,$A231,$C$5:$C$148,$B231,$E$5:$E$148,"是",$V$5:$V$148,"&gt;=0")=3,AVERAGEIFS($V$5:$V$148,$A$5:$A$148,$A231,$C$5:$C$148,$B231,$E$5:$E$148,"是"),"")</f>
        <v/>
      </c>
      <c r="U231" s="336">
        <f>COUNTIFS($A$5:$A$148,$A231,$C$5:$C$148,$B231,$E$5:$E$148,"是")</f>
        <v/>
      </c>
    </row>
    <row r="232">
      <c r="A232" s="335">
        <f>Participants!A8</f>
        <v/>
      </c>
      <c r="B232" s="335" t="inlineStr">
        <is>
          <t>One-Euro</t>
        </is>
      </c>
      <c r="C232" s="336">
        <f>IF(COUNTIFS($A$5:$A$148,$A232,$C$5:$C$148,$B232,$E$5:$E$148,"是",$F$5:$F$148,"&gt;=0")=3,AVERAGEIFS($F$5:$F$148,$A$5:$A$148,$A232,$C$5:$C$148,$B232,$E$5:$E$148,"是"),"")</f>
        <v/>
      </c>
      <c r="D232" s="336">
        <f>IF(COUNTIFS($A$5:$A$148,$A232,$C$5:$C$148,$B232,$E$5:$E$148,"是",$G$5:$G$148,"&gt;=0")=3,AVERAGEIFS($G$5:$G$148,$A$5:$A$148,$A232,$C$5:$C$148,$B232,$E$5:$E$148,"是"),"")</f>
        <v/>
      </c>
      <c r="E232" s="336">
        <f>IF(COUNTIFS($A$5:$A$148,$A232,$C$5:$C$148,$B232,$E$5:$E$148,"是",$H$5:$H$148,"&gt;=0")=3,AVERAGEIFS($H$5:$H$148,$A$5:$A$148,$A232,$C$5:$C$148,$B232,$E$5:$E$148,"是"),"")</f>
        <v/>
      </c>
      <c r="F232" s="336">
        <f>IF(COUNTIFS($A$5:$A$148,$A232,$C$5:$C$148,$B232,$E$5:$E$148,"是",$I$5:$I$148,"&gt;=0")=3,AVERAGEIFS($I$5:$I$148,$A$5:$A$148,$A232,$C$5:$C$148,$B232,$E$5:$E$148,"是"),"")</f>
        <v/>
      </c>
      <c r="G232" s="336">
        <f>IF(COUNTIFS($A$5:$A$148,$A232,$C$5:$C$148,$B232,$E$5:$E$148,"是",$J$5:$J$148,"&gt;=0")=3,AVERAGEIFS($J$5:$J$148,$A$5:$A$148,$A232,$C$5:$C$148,$B232,$E$5:$E$148,"是"),"")</f>
        <v/>
      </c>
      <c r="H232" s="336">
        <f>IF(COUNTIFS($A$5:$A$148,$A232,$C$5:$C$148,$B232,$E$5:$E$148,"是",$K$5:$K$148,"&gt;=0")=3,AVERAGEIFS($K$5:$K$148,$A$5:$A$148,$A232,$C$5:$C$148,$B232,$E$5:$E$148,"是"),"")</f>
        <v/>
      </c>
      <c r="I232" s="336">
        <f>IF(COUNTIFS($A$5:$A$148,$A232,$C$5:$C$148,$B232,$E$5:$E$148,"是",$L$5:$L$148,"&gt;=0")=3,AVERAGEIFS($L$5:$L$148,$A$5:$A$148,$A232,$C$5:$C$148,$B232,$E$5:$E$148,"是"),"")</f>
        <v/>
      </c>
      <c r="J232" s="336">
        <f>IF(COUNTIFS($A$5:$A$148,$A232,$C$5:$C$148,$B232,$E$5:$E$148,"是",$M$5:$M$148,"&gt;=0")=3,AVERAGEIFS($M$5:$M$148,$A$5:$A$148,$A232,$C$5:$C$148,$B232,$E$5:$E$148,"是"),"")</f>
        <v/>
      </c>
      <c r="K232" s="336">
        <f>IF(COUNTIFS($A$5:$A$148,$A232,$C$5:$C$148,$B232,$E$5:$E$148,"是",$N$5:$N$148,"&gt;=0")=3,AVERAGEIFS($N$5:$N$148,$A$5:$A$148,$A232,$C$5:$C$148,$B232,$E$5:$E$148,"是"),"")</f>
        <v/>
      </c>
      <c r="L232" s="336">
        <f>IF(COUNTIFS($A$152:$A$199,$A232,$B$152:$B$199,$B232,$D$152:$D$199,"是",$R$152:$R$199,"&gt;=0")=1,AVERAGEIFS($R$152:$R$199,$A$152:$A$199,$A232,$B$152:$B$199,$B232,$D$152:$D$199,"是"),"")</f>
        <v/>
      </c>
      <c r="M232" s="336">
        <f>IF(COUNTIFS($A$152:$A$199,$A232,$B$152:$B$199,$B232,$D$152:$D$199,"是",$S$152:$S$199,"&gt;=0")=1,AVERAGEIFS($S$152:$S$199,$A$152:$A$199,$A232,$B$152:$B$199,$B232,$D$152:$D$199,"是"),"")</f>
        <v/>
      </c>
      <c r="N232" s="336">
        <f>IF(COUNTIFS($A$152:$A$199,$A232,$B$152:$B$199,$B232,$D$152:$D$199,"是",$T$152:$T$199,"&gt;=0")=1,AVERAGEIFS($T$152:$T$199,$A$152:$A$199,$A232,$B$152:$B$199,$B232,$D$152:$D$199,"是"),"")</f>
        <v/>
      </c>
      <c r="O232" s="336">
        <f>IF(COUNTIFS($A$5:$A$148,$A232,$C$5:$C$148,$B232,$E$5:$E$148,"是",$O$5:$O$148,"&gt;=0")=3,AVERAGEIFS($O$5:$O$148,$A$5:$A$148,$A232,$C$5:$C$148,$B232,$E$5:$E$148,"是"),"")</f>
        <v/>
      </c>
      <c r="P232" s="336">
        <f>IF(COUNTIFS($A$5:$A$148,$A232,$C$5:$C$148,$B232,$E$5:$E$148,"是",$R$5:$R$148,"&gt;=0")=3,AVERAGEIFS($R$5:$R$148,$A$5:$A$148,$A232,$C$5:$C$148,$B232,$E$5:$E$148,"是"),"")</f>
        <v/>
      </c>
      <c r="Q232" s="336">
        <f>IF(COUNTIFS($A$5:$A$148,$A232,$C$5:$C$148,$B232,$E$5:$E$148,"是",$S$5:$S$148,"&gt;=0")=3,AVERAGEIFS($S$5:$S$148,$A$5:$A$148,$A232,$C$5:$C$148,$B232,$E$5:$E$148,"是"),"")</f>
        <v/>
      </c>
      <c r="R232" s="336">
        <f>IF(COUNTIFS($A$5:$A$148,$A232,$C$5:$C$148,$B232,$E$5:$E$148,"是",$T$5:$T$148,"&gt;=0")=3,AVERAGEIFS($T$5:$T$148,$A$5:$A$148,$A232,$C$5:$C$148,$B232,$E$5:$E$148,"是"),"")</f>
        <v/>
      </c>
      <c r="S232" s="336">
        <f>IF(COUNTIFS($A$5:$A$148,$A232,$C$5:$C$148,$B232,$E$5:$E$148,"是",$U$5:$U$148,"&gt;=0")=3,AVERAGEIFS($U$5:$U$148,$A$5:$A$148,$A232,$C$5:$C$148,$B232,$E$5:$E$148,"是"),"")</f>
        <v/>
      </c>
      <c r="T232" s="336">
        <f>IF(COUNTIFS($A$5:$A$148,$A232,$C$5:$C$148,$B232,$E$5:$E$148,"是",$V$5:$V$148,"&gt;=0")=3,AVERAGEIFS($V$5:$V$148,$A$5:$A$148,$A232,$C$5:$C$148,$B232,$E$5:$E$148,"是"),"")</f>
        <v/>
      </c>
      <c r="U232" s="336">
        <f>COUNTIFS($A$5:$A$148,$A232,$C$5:$C$148,$B232,$E$5:$E$148,"是")</f>
        <v/>
      </c>
    </row>
    <row r="233">
      <c r="A233" s="335">
        <f>Participants!A9</f>
        <v/>
      </c>
      <c r="B233" s="335" t="inlineStr">
        <is>
          <t>One-Euro</t>
        </is>
      </c>
      <c r="C233" s="336">
        <f>IF(COUNTIFS($A$5:$A$148,$A233,$C$5:$C$148,$B233,$E$5:$E$148,"是",$F$5:$F$148,"&gt;=0")=3,AVERAGEIFS($F$5:$F$148,$A$5:$A$148,$A233,$C$5:$C$148,$B233,$E$5:$E$148,"是"),"")</f>
        <v/>
      </c>
      <c r="D233" s="336">
        <f>IF(COUNTIFS($A$5:$A$148,$A233,$C$5:$C$148,$B233,$E$5:$E$148,"是",$G$5:$G$148,"&gt;=0")=3,AVERAGEIFS($G$5:$G$148,$A$5:$A$148,$A233,$C$5:$C$148,$B233,$E$5:$E$148,"是"),"")</f>
        <v/>
      </c>
      <c r="E233" s="336">
        <f>IF(COUNTIFS($A$5:$A$148,$A233,$C$5:$C$148,$B233,$E$5:$E$148,"是",$H$5:$H$148,"&gt;=0")=3,AVERAGEIFS($H$5:$H$148,$A$5:$A$148,$A233,$C$5:$C$148,$B233,$E$5:$E$148,"是"),"")</f>
        <v/>
      </c>
      <c r="F233" s="336">
        <f>IF(COUNTIFS($A$5:$A$148,$A233,$C$5:$C$148,$B233,$E$5:$E$148,"是",$I$5:$I$148,"&gt;=0")=3,AVERAGEIFS($I$5:$I$148,$A$5:$A$148,$A233,$C$5:$C$148,$B233,$E$5:$E$148,"是"),"")</f>
        <v/>
      </c>
      <c r="G233" s="336">
        <f>IF(COUNTIFS($A$5:$A$148,$A233,$C$5:$C$148,$B233,$E$5:$E$148,"是",$J$5:$J$148,"&gt;=0")=3,AVERAGEIFS($J$5:$J$148,$A$5:$A$148,$A233,$C$5:$C$148,$B233,$E$5:$E$148,"是"),"")</f>
        <v/>
      </c>
      <c r="H233" s="336">
        <f>IF(COUNTIFS($A$5:$A$148,$A233,$C$5:$C$148,$B233,$E$5:$E$148,"是",$K$5:$K$148,"&gt;=0")=3,AVERAGEIFS($K$5:$K$148,$A$5:$A$148,$A233,$C$5:$C$148,$B233,$E$5:$E$148,"是"),"")</f>
        <v/>
      </c>
      <c r="I233" s="336">
        <f>IF(COUNTIFS($A$5:$A$148,$A233,$C$5:$C$148,$B233,$E$5:$E$148,"是",$L$5:$L$148,"&gt;=0")=3,AVERAGEIFS($L$5:$L$148,$A$5:$A$148,$A233,$C$5:$C$148,$B233,$E$5:$E$148,"是"),"")</f>
        <v/>
      </c>
      <c r="J233" s="336">
        <f>IF(COUNTIFS($A$5:$A$148,$A233,$C$5:$C$148,$B233,$E$5:$E$148,"是",$M$5:$M$148,"&gt;=0")=3,AVERAGEIFS($M$5:$M$148,$A$5:$A$148,$A233,$C$5:$C$148,$B233,$E$5:$E$148,"是"),"")</f>
        <v/>
      </c>
      <c r="K233" s="336">
        <f>IF(COUNTIFS($A$5:$A$148,$A233,$C$5:$C$148,$B233,$E$5:$E$148,"是",$N$5:$N$148,"&gt;=0")=3,AVERAGEIFS($N$5:$N$148,$A$5:$A$148,$A233,$C$5:$C$148,$B233,$E$5:$E$148,"是"),"")</f>
        <v/>
      </c>
      <c r="L233" s="336">
        <f>IF(COUNTIFS($A$152:$A$199,$A233,$B$152:$B$199,$B233,$D$152:$D$199,"是",$R$152:$R$199,"&gt;=0")=1,AVERAGEIFS($R$152:$R$199,$A$152:$A$199,$A233,$B$152:$B$199,$B233,$D$152:$D$199,"是"),"")</f>
        <v/>
      </c>
      <c r="M233" s="336">
        <f>IF(COUNTIFS($A$152:$A$199,$A233,$B$152:$B$199,$B233,$D$152:$D$199,"是",$S$152:$S$199,"&gt;=0")=1,AVERAGEIFS($S$152:$S$199,$A$152:$A$199,$A233,$B$152:$B$199,$B233,$D$152:$D$199,"是"),"")</f>
        <v/>
      </c>
      <c r="N233" s="336">
        <f>IF(COUNTIFS($A$152:$A$199,$A233,$B$152:$B$199,$B233,$D$152:$D$199,"是",$T$152:$T$199,"&gt;=0")=1,AVERAGEIFS($T$152:$T$199,$A$152:$A$199,$A233,$B$152:$B$199,$B233,$D$152:$D$199,"是"),"")</f>
        <v/>
      </c>
      <c r="O233" s="336">
        <f>IF(COUNTIFS($A$5:$A$148,$A233,$C$5:$C$148,$B233,$E$5:$E$148,"是",$O$5:$O$148,"&gt;=0")=3,AVERAGEIFS($O$5:$O$148,$A$5:$A$148,$A233,$C$5:$C$148,$B233,$E$5:$E$148,"是"),"")</f>
        <v/>
      </c>
      <c r="P233" s="336">
        <f>IF(COUNTIFS($A$5:$A$148,$A233,$C$5:$C$148,$B233,$E$5:$E$148,"是",$R$5:$R$148,"&gt;=0")=3,AVERAGEIFS($R$5:$R$148,$A$5:$A$148,$A233,$C$5:$C$148,$B233,$E$5:$E$148,"是"),"")</f>
        <v/>
      </c>
      <c r="Q233" s="336">
        <f>IF(COUNTIFS($A$5:$A$148,$A233,$C$5:$C$148,$B233,$E$5:$E$148,"是",$S$5:$S$148,"&gt;=0")=3,AVERAGEIFS($S$5:$S$148,$A$5:$A$148,$A233,$C$5:$C$148,$B233,$E$5:$E$148,"是"),"")</f>
        <v/>
      </c>
      <c r="R233" s="336">
        <f>IF(COUNTIFS($A$5:$A$148,$A233,$C$5:$C$148,$B233,$E$5:$E$148,"是",$T$5:$T$148,"&gt;=0")=3,AVERAGEIFS($T$5:$T$148,$A$5:$A$148,$A233,$C$5:$C$148,$B233,$E$5:$E$148,"是"),"")</f>
        <v/>
      </c>
      <c r="S233" s="336">
        <f>IF(COUNTIFS($A$5:$A$148,$A233,$C$5:$C$148,$B233,$E$5:$E$148,"是",$U$5:$U$148,"&gt;=0")=3,AVERAGEIFS($U$5:$U$148,$A$5:$A$148,$A233,$C$5:$C$148,$B233,$E$5:$E$148,"是"),"")</f>
        <v/>
      </c>
      <c r="T233" s="336">
        <f>IF(COUNTIFS($A$5:$A$148,$A233,$C$5:$C$148,$B233,$E$5:$E$148,"是",$V$5:$V$148,"&gt;=0")=3,AVERAGEIFS($V$5:$V$148,$A$5:$A$148,$A233,$C$5:$C$148,$B233,$E$5:$E$148,"是"),"")</f>
        <v/>
      </c>
      <c r="U233" s="336">
        <f>COUNTIFS($A$5:$A$148,$A233,$C$5:$C$148,$B233,$E$5:$E$148,"是")</f>
        <v/>
      </c>
    </row>
    <row r="234">
      <c r="A234" s="335">
        <f>Participants!A10</f>
        <v/>
      </c>
      <c r="B234" s="335" t="inlineStr">
        <is>
          <t>One-Euro</t>
        </is>
      </c>
      <c r="C234" s="336">
        <f>IF(COUNTIFS($A$5:$A$148,$A234,$C$5:$C$148,$B234,$E$5:$E$148,"是",$F$5:$F$148,"&gt;=0")=3,AVERAGEIFS($F$5:$F$148,$A$5:$A$148,$A234,$C$5:$C$148,$B234,$E$5:$E$148,"是"),"")</f>
        <v/>
      </c>
      <c r="D234" s="336">
        <f>IF(COUNTIFS($A$5:$A$148,$A234,$C$5:$C$148,$B234,$E$5:$E$148,"是",$G$5:$G$148,"&gt;=0")=3,AVERAGEIFS($G$5:$G$148,$A$5:$A$148,$A234,$C$5:$C$148,$B234,$E$5:$E$148,"是"),"")</f>
        <v/>
      </c>
      <c r="E234" s="336">
        <f>IF(COUNTIFS($A$5:$A$148,$A234,$C$5:$C$148,$B234,$E$5:$E$148,"是",$H$5:$H$148,"&gt;=0")=3,AVERAGEIFS($H$5:$H$148,$A$5:$A$148,$A234,$C$5:$C$148,$B234,$E$5:$E$148,"是"),"")</f>
        <v/>
      </c>
      <c r="F234" s="336">
        <f>IF(COUNTIFS($A$5:$A$148,$A234,$C$5:$C$148,$B234,$E$5:$E$148,"是",$I$5:$I$148,"&gt;=0")=3,AVERAGEIFS($I$5:$I$148,$A$5:$A$148,$A234,$C$5:$C$148,$B234,$E$5:$E$148,"是"),"")</f>
        <v/>
      </c>
      <c r="G234" s="336">
        <f>IF(COUNTIFS($A$5:$A$148,$A234,$C$5:$C$148,$B234,$E$5:$E$148,"是",$J$5:$J$148,"&gt;=0")=3,AVERAGEIFS($J$5:$J$148,$A$5:$A$148,$A234,$C$5:$C$148,$B234,$E$5:$E$148,"是"),"")</f>
        <v/>
      </c>
      <c r="H234" s="336">
        <f>IF(COUNTIFS($A$5:$A$148,$A234,$C$5:$C$148,$B234,$E$5:$E$148,"是",$K$5:$K$148,"&gt;=0")=3,AVERAGEIFS($K$5:$K$148,$A$5:$A$148,$A234,$C$5:$C$148,$B234,$E$5:$E$148,"是"),"")</f>
        <v/>
      </c>
      <c r="I234" s="336">
        <f>IF(COUNTIFS($A$5:$A$148,$A234,$C$5:$C$148,$B234,$E$5:$E$148,"是",$L$5:$L$148,"&gt;=0")=3,AVERAGEIFS($L$5:$L$148,$A$5:$A$148,$A234,$C$5:$C$148,$B234,$E$5:$E$148,"是"),"")</f>
        <v/>
      </c>
      <c r="J234" s="336">
        <f>IF(COUNTIFS($A$5:$A$148,$A234,$C$5:$C$148,$B234,$E$5:$E$148,"是",$M$5:$M$148,"&gt;=0")=3,AVERAGEIFS($M$5:$M$148,$A$5:$A$148,$A234,$C$5:$C$148,$B234,$E$5:$E$148,"是"),"")</f>
        <v/>
      </c>
      <c r="K234" s="336">
        <f>IF(COUNTIFS($A$5:$A$148,$A234,$C$5:$C$148,$B234,$E$5:$E$148,"是",$N$5:$N$148,"&gt;=0")=3,AVERAGEIFS($N$5:$N$148,$A$5:$A$148,$A234,$C$5:$C$148,$B234,$E$5:$E$148,"是"),"")</f>
        <v/>
      </c>
      <c r="L234" s="336">
        <f>IF(COUNTIFS($A$152:$A$199,$A234,$B$152:$B$199,$B234,$D$152:$D$199,"是",$R$152:$R$199,"&gt;=0")=1,AVERAGEIFS($R$152:$R$199,$A$152:$A$199,$A234,$B$152:$B$199,$B234,$D$152:$D$199,"是"),"")</f>
        <v/>
      </c>
      <c r="M234" s="336">
        <f>IF(COUNTIFS($A$152:$A$199,$A234,$B$152:$B$199,$B234,$D$152:$D$199,"是",$S$152:$S$199,"&gt;=0")=1,AVERAGEIFS($S$152:$S$199,$A$152:$A$199,$A234,$B$152:$B$199,$B234,$D$152:$D$199,"是"),"")</f>
        <v/>
      </c>
      <c r="N234" s="336">
        <f>IF(COUNTIFS($A$152:$A$199,$A234,$B$152:$B$199,$B234,$D$152:$D$199,"是",$T$152:$T$199,"&gt;=0")=1,AVERAGEIFS($T$152:$T$199,$A$152:$A$199,$A234,$B$152:$B$199,$B234,$D$152:$D$199,"是"),"")</f>
        <v/>
      </c>
      <c r="O234" s="336">
        <f>IF(COUNTIFS($A$5:$A$148,$A234,$C$5:$C$148,$B234,$E$5:$E$148,"是",$O$5:$O$148,"&gt;=0")=3,AVERAGEIFS($O$5:$O$148,$A$5:$A$148,$A234,$C$5:$C$148,$B234,$E$5:$E$148,"是"),"")</f>
        <v/>
      </c>
      <c r="P234" s="336">
        <f>IF(COUNTIFS($A$5:$A$148,$A234,$C$5:$C$148,$B234,$E$5:$E$148,"是",$R$5:$R$148,"&gt;=0")=3,AVERAGEIFS($R$5:$R$148,$A$5:$A$148,$A234,$C$5:$C$148,$B234,$E$5:$E$148,"是"),"")</f>
        <v/>
      </c>
      <c r="Q234" s="336">
        <f>IF(COUNTIFS($A$5:$A$148,$A234,$C$5:$C$148,$B234,$E$5:$E$148,"是",$S$5:$S$148,"&gt;=0")=3,AVERAGEIFS($S$5:$S$148,$A$5:$A$148,$A234,$C$5:$C$148,$B234,$E$5:$E$148,"是"),"")</f>
        <v/>
      </c>
      <c r="R234" s="336">
        <f>IF(COUNTIFS($A$5:$A$148,$A234,$C$5:$C$148,$B234,$E$5:$E$148,"是",$T$5:$T$148,"&gt;=0")=3,AVERAGEIFS($T$5:$T$148,$A$5:$A$148,$A234,$C$5:$C$148,$B234,$E$5:$E$148,"是"),"")</f>
        <v/>
      </c>
      <c r="S234" s="336">
        <f>IF(COUNTIFS($A$5:$A$148,$A234,$C$5:$C$148,$B234,$E$5:$E$148,"是",$U$5:$U$148,"&gt;=0")=3,AVERAGEIFS($U$5:$U$148,$A$5:$A$148,$A234,$C$5:$C$148,$B234,$E$5:$E$148,"是"),"")</f>
        <v/>
      </c>
      <c r="T234" s="336">
        <f>IF(COUNTIFS($A$5:$A$148,$A234,$C$5:$C$148,$B234,$E$5:$E$148,"是",$V$5:$V$148,"&gt;=0")=3,AVERAGEIFS($V$5:$V$148,$A$5:$A$148,$A234,$C$5:$C$148,$B234,$E$5:$E$148,"是"),"")</f>
        <v/>
      </c>
      <c r="U234" s="336">
        <f>COUNTIFS($A$5:$A$148,$A234,$C$5:$C$148,$B234,$E$5:$E$148,"是")</f>
        <v/>
      </c>
    </row>
    <row r="235">
      <c r="A235" s="335">
        <f>Participants!A11</f>
        <v/>
      </c>
      <c r="B235" s="335" t="inlineStr">
        <is>
          <t>One-Euro</t>
        </is>
      </c>
      <c r="C235" s="336">
        <f>IF(COUNTIFS($A$5:$A$148,$A235,$C$5:$C$148,$B235,$E$5:$E$148,"是",$F$5:$F$148,"&gt;=0")=3,AVERAGEIFS($F$5:$F$148,$A$5:$A$148,$A235,$C$5:$C$148,$B235,$E$5:$E$148,"是"),"")</f>
        <v/>
      </c>
      <c r="D235" s="336">
        <f>IF(COUNTIFS($A$5:$A$148,$A235,$C$5:$C$148,$B235,$E$5:$E$148,"是",$G$5:$G$148,"&gt;=0")=3,AVERAGEIFS($G$5:$G$148,$A$5:$A$148,$A235,$C$5:$C$148,$B235,$E$5:$E$148,"是"),"")</f>
        <v/>
      </c>
      <c r="E235" s="336">
        <f>IF(COUNTIFS($A$5:$A$148,$A235,$C$5:$C$148,$B235,$E$5:$E$148,"是",$H$5:$H$148,"&gt;=0")=3,AVERAGEIFS($H$5:$H$148,$A$5:$A$148,$A235,$C$5:$C$148,$B235,$E$5:$E$148,"是"),"")</f>
        <v/>
      </c>
      <c r="F235" s="336">
        <f>IF(COUNTIFS($A$5:$A$148,$A235,$C$5:$C$148,$B235,$E$5:$E$148,"是",$I$5:$I$148,"&gt;=0")=3,AVERAGEIFS($I$5:$I$148,$A$5:$A$148,$A235,$C$5:$C$148,$B235,$E$5:$E$148,"是"),"")</f>
        <v/>
      </c>
      <c r="G235" s="336">
        <f>IF(COUNTIFS($A$5:$A$148,$A235,$C$5:$C$148,$B235,$E$5:$E$148,"是",$J$5:$J$148,"&gt;=0")=3,AVERAGEIFS($J$5:$J$148,$A$5:$A$148,$A235,$C$5:$C$148,$B235,$E$5:$E$148,"是"),"")</f>
        <v/>
      </c>
      <c r="H235" s="336">
        <f>IF(COUNTIFS($A$5:$A$148,$A235,$C$5:$C$148,$B235,$E$5:$E$148,"是",$K$5:$K$148,"&gt;=0")=3,AVERAGEIFS($K$5:$K$148,$A$5:$A$148,$A235,$C$5:$C$148,$B235,$E$5:$E$148,"是"),"")</f>
        <v/>
      </c>
      <c r="I235" s="336">
        <f>IF(COUNTIFS($A$5:$A$148,$A235,$C$5:$C$148,$B235,$E$5:$E$148,"是",$L$5:$L$148,"&gt;=0")=3,AVERAGEIFS($L$5:$L$148,$A$5:$A$148,$A235,$C$5:$C$148,$B235,$E$5:$E$148,"是"),"")</f>
        <v/>
      </c>
      <c r="J235" s="336">
        <f>IF(COUNTIFS($A$5:$A$148,$A235,$C$5:$C$148,$B235,$E$5:$E$148,"是",$M$5:$M$148,"&gt;=0")=3,AVERAGEIFS($M$5:$M$148,$A$5:$A$148,$A235,$C$5:$C$148,$B235,$E$5:$E$148,"是"),"")</f>
        <v/>
      </c>
      <c r="K235" s="336">
        <f>IF(COUNTIFS($A$5:$A$148,$A235,$C$5:$C$148,$B235,$E$5:$E$148,"是",$N$5:$N$148,"&gt;=0")=3,AVERAGEIFS($N$5:$N$148,$A$5:$A$148,$A235,$C$5:$C$148,$B235,$E$5:$E$148,"是"),"")</f>
        <v/>
      </c>
      <c r="L235" s="336">
        <f>IF(COUNTIFS($A$152:$A$199,$A235,$B$152:$B$199,$B235,$D$152:$D$199,"是",$R$152:$R$199,"&gt;=0")=1,AVERAGEIFS($R$152:$R$199,$A$152:$A$199,$A235,$B$152:$B$199,$B235,$D$152:$D$199,"是"),"")</f>
        <v/>
      </c>
      <c r="M235" s="336">
        <f>IF(COUNTIFS($A$152:$A$199,$A235,$B$152:$B$199,$B235,$D$152:$D$199,"是",$S$152:$S$199,"&gt;=0")=1,AVERAGEIFS($S$152:$S$199,$A$152:$A$199,$A235,$B$152:$B$199,$B235,$D$152:$D$199,"是"),"")</f>
        <v/>
      </c>
      <c r="N235" s="336">
        <f>IF(COUNTIFS($A$152:$A$199,$A235,$B$152:$B$199,$B235,$D$152:$D$199,"是",$T$152:$T$199,"&gt;=0")=1,AVERAGEIFS($T$152:$T$199,$A$152:$A$199,$A235,$B$152:$B$199,$B235,$D$152:$D$199,"是"),"")</f>
        <v/>
      </c>
      <c r="O235" s="336">
        <f>IF(COUNTIFS($A$5:$A$148,$A235,$C$5:$C$148,$B235,$E$5:$E$148,"是",$O$5:$O$148,"&gt;=0")=3,AVERAGEIFS($O$5:$O$148,$A$5:$A$148,$A235,$C$5:$C$148,$B235,$E$5:$E$148,"是"),"")</f>
        <v/>
      </c>
      <c r="P235" s="336">
        <f>IF(COUNTIFS($A$5:$A$148,$A235,$C$5:$C$148,$B235,$E$5:$E$148,"是",$R$5:$R$148,"&gt;=0")=3,AVERAGEIFS($R$5:$R$148,$A$5:$A$148,$A235,$C$5:$C$148,$B235,$E$5:$E$148,"是"),"")</f>
        <v/>
      </c>
      <c r="Q235" s="336">
        <f>IF(COUNTIFS($A$5:$A$148,$A235,$C$5:$C$148,$B235,$E$5:$E$148,"是",$S$5:$S$148,"&gt;=0")=3,AVERAGEIFS($S$5:$S$148,$A$5:$A$148,$A235,$C$5:$C$148,$B235,$E$5:$E$148,"是"),"")</f>
        <v/>
      </c>
      <c r="R235" s="336">
        <f>IF(COUNTIFS($A$5:$A$148,$A235,$C$5:$C$148,$B235,$E$5:$E$148,"是",$T$5:$T$148,"&gt;=0")=3,AVERAGEIFS($T$5:$T$148,$A$5:$A$148,$A235,$C$5:$C$148,$B235,$E$5:$E$148,"是"),"")</f>
        <v/>
      </c>
      <c r="S235" s="336">
        <f>IF(COUNTIFS($A$5:$A$148,$A235,$C$5:$C$148,$B235,$E$5:$E$148,"是",$U$5:$U$148,"&gt;=0")=3,AVERAGEIFS($U$5:$U$148,$A$5:$A$148,$A235,$C$5:$C$148,$B235,$E$5:$E$148,"是"),"")</f>
        <v/>
      </c>
      <c r="T235" s="336">
        <f>IF(COUNTIFS($A$5:$A$148,$A235,$C$5:$C$148,$B235,$E$5:$E$148,"是",$V$5:$V$148,"&gt;=0")=3,AVERAGEIFS($V$5:$V$148,$A$5:$A$148,$A235,$C$5:$C$148,$B235,$E$5:$E$148,"是"),"")</f>
        <v/>
      </c>
      <c r="U235" s="336">
        <f>COUNTIFS($A$5:$A$148,$A235,$C$5:$C$148,$B235,$E$5:$E$148,"是")</f>
        <v/>
      </c>
    </row>
    <row r="236">
      <c r="A236" s="335">
        <f>Participants!A12</f>
        <v/>
      </c>
      <c r="B236" s="335" t="inlineStr">
        <is>
          <t>One-Euro</t>
        </is>
      </c>
      <c r="C236" s="336">
        <f>IF(COUNTIFS($A$5:$A$148,$A236,$C$5:$C$148,$B236,$E$5:$E$148,"是",$F$5:$F$148,"&gt;=0")=3,AVERAGEIFS($F$5:$F$148,$A$5:$A$148,$A236,$C$5:$C$148,$B236,$E$5:$E$148,"是"),"")</f>
        <v/>
      </c>
      <c r="D236" s="336">
        <f>IF(COUNTIFS($A$5:$A$148,$A236,$C$5:$C$148,$B236,$E$5:$E$148,"是",$G$5:$G$148,"&gt;=0")=3,AVERAGEIFS($G$5:$G$148,$A$5:$A$148,$A236,$C$5:$C$148,$B236,$E$5:$E$148,"是"),"")</f>
        <v/>
      </c>
      <c r="E236" s="336">
        <f>IF(COUNTIFS($A$5:$A$148,$A236,$C$5:$C$148,$B236,$E$5:$E$148,"是",$H$5:$H$148,"&gt;=0")=3,AVERAGEIFS($H$5:$H$148,$A$5:$A$148,$A236,$C$5:$C$148,$B236,$E$5:$E$148,"是"),"")</f>
        <v/>
      </c>
      <c r="F236" s="336">
        <f>IF(COUNTIFS($A$5:$A$148,$A236,$C$5:$C$148,$B236,$E$5:$E$148,"是",$I$5:$I$148,"&gt;=0")=3,AVERAGEIFS($I$5:$I$148,$A$5:$A$148,$A236,$C$5:$C$148,$B236,$E$5:$E$148,"是"),"")</f>
        <v/>
      </c>
      <c r="G236" s="336">
        <f>IF(COUNTIFS($A$5:$A$148,$A236,$C$5:$C$148,$B236,$E$5:$E$148,"是",$J$5:$J$148,"&gt;=0")=3,AVERAGEIFS($J$5:$J$148,$A$5:$A$148,$A236,$C$5:$C$148,$B236,$E$5:$E$148,"是"),"")</f>
        <v/>
      </c>
      <c r="H236" s="336">
        <f>IF(COUNTIFS($A$5:$A$148,$A236,$C$5:$C$148,$B236,$E$5:$E$148,"是",$K$5:$K$148,"&gt;=0")=3,AVERAGEIFS($K$5:$K$148,$A$5:$A$148,$A236,$C$5:$C$148,$B236,$E$5:$E$148,"是"),"")</f>
        <v/>
      </c>
      <c r="I236" s="336">
        <f>IF(COUNTIFS($A$5:$A$148,$A236,$C$5:$C$148,$B236,$E$5:$E$148,"是",$L$5:$L$148,"&gt;=0")=3,AVERAGEIFS($L$5:$L$148,$A$5:$A$148,$A236,$C$5:$C$148,$B236,$E$5:$E$148,"是"),"")</f>
        <v/>
      </c>
      <c r="J236" s="336">
        <f>IF(COUNTIFS($A$5:$A$148,$A236,$C$5:$C$148,$B236,$E$5:$E$148,"是",$M$5:$M$148,"&gt;=0")=3,AVERAGEIFS($M$5:$M$148,$A$5:$A$148,$A236,$C$5:$C$148,$B236,$E$5:$E$148,"是"),"")</f>
        <v/>
      </c>
      <c r="K236" s="336">
        <f>IF(COUNTIFS($A$5:$A$148,$A236,$C$5:$C$148,$B236,$E$5:$E$148,"是",$N$5:$N$148,"&gt;=0")=3,AVERAGEIFS($N$5:$N$148,$A$5:$A$148,$A236,$C$5:$C$148,$B236,$E$5:$E$148,"是"),"")</f>
        <v/>
      </c>
      <c r="L236" s="336">
        <f>IF(COUNTIFS($A$152:$A$199,$A236,$B$152:$B$199,$B236,$D$152:$D$199,"是",$R$152:$R$199,"&gt;=0")=1,AVERAGEIFS($R$152:$R$199,$A$152:$A$199,$A236,$B$152:$B$199,$B236,$D$152:$D$199,"是"),"")</f>
        <v/>
      </c>
      <c r="M236" s="336">
        <f>IF(COUNTIFS($A$152:$A$199,$A236,$B$152:$B$199,$B236,$D$152:$D$199,"是",$S$152:$S$199,"&gt;=0")=1,AVERAGEIFS($S$152:$S$199,$A$152:$A$199,$A236,$B$152:$B$199,$B236,$D$152:$D$199,"是"),"")</f>
        <v/>
      </c>
      <c r="N236" s="336">
        <f>IF(COUNTIFS($A$152:$A$199,$A236,$B$152:$B$199,$B236,$D$152:$D$199,"是",$T$152:$T$199,"&gt;=0")=1,AVERAGEIFS($T$152:$T$199,$A$152:$A$199,$A236,$B$152:$B$199,$B236,$D$152:$D$199,"是"),"")</f>
        <v/>
      </c>
      <c r="O236" s="336">
        <f>IF(COUNTIFS($A$5:$A$148,$A236,$C$5:$C$148,$B236,$E$5:$E$148,"是",$O$5:$O$148,"&gt;=0")=3,AVERAGEIFS($O$5:$O$148,$A$5:$A$148,$A236,$C$5:$C$148,$B236,$E$5:$E$148,"是"),"")</f>
        <v/>
      </c>
      <c r="P236" s="336">
        <f>IF(COUNTIFS($A$5:$A$148,$A236,$C$5:$C$148,$B236,$E$5:$E$148,"是",$R$5:$R$148,"&gt;=0")=3,AVERAGEIFS($R$5:$R$148,$A$5:$A$148,$A236,$C$5:$C$148,$B236,$E$5:$E$148,"是"),"")</f>
        <v/>
      </c>
      <c r="Q236" s="336">
        <f>IF(COUNTIFS($A$5:$A$148,$A236,$C$5:$C$148,$B236,$E$5:$E$148,"是",$S$5:$S$148,"&gt;=0")=3,AVERAGEIFS($S$5:$S$148,$A$5:$A$148,$A236,$C$5:$C$148,$B236,$E$5:$E$148,"是"),"")</f>
        <v/>
      </c>
      <c r="R236" s="336">
        <f>IF(COUNTIFS($A$5:$A$148,$A236,$C$5:$C$148,$B236,$E$5:$E$148,"是",$T$5:$T$148,"&gt;=0")=3,AVERAGEIFS($T$5:$T$148,$A$5:$A$148,$A236,$C$5:$C$148,$B236,$E$5:$E$148,"是"),"")</f>
        <v/>
      </c>
      <c r="S236" s="336">
        <f>IF(COUNTIFS($A$5:$A$148,$A236,$C$5:$C$148,$B236,$E$5:$E$148,"是",$U$5:$U$148,"&gt;=0")=3,AVERAGEIFS($U$5:$U$148,$A$5:$A$148,$A236,$C$5:$C$148,$B236,$E$5:$E$148,"是"),"")</f>
        <v/>
      </c>
      <c r="T236" s="336">
        <f>IF(COUNTIFS($A$5:$A$148,$A236,$C$5:$C$148,$B236,$E$5:$E$148,"是",$V$5:$V$148,"&gt;=0")=3,AVERAGEIFS($V$5:$V$148,$A$5:$A$148,$A236,$C$5:$C$148,$B236,$E$5:$E$148,"是"),"")</f>
        <v/>
      </c>
      <c r="U236" s="336">
        <f>COUNTIFS($A$5:$A$148,$A236,$C$5:$C$148,$B236,$E$5:$E$148,"是")</f>
        <v/>
      </c>
    </row>
    <row r="237">
      <c r="A237" s="335">
        <f>Participants!A13</f>
        <v/>
      </c>
      <c r="B237" s="335" t="inlineStr">
        <is>
          <t>One-Euro</t>
        </is>
      </c>
      <c r="C237" s="336">
        <f>IF(COUNTIFS($A$5:$A$148,$A237,$C$5:$C$148,$B237,$E$5:$E$148,"是",$F$5:$F$148,"&gt;=0")=3,AVERAGEIFS($F$5:$F$148,$A$5:$A$148,$A237,$C$5:$C$148,$B237,$E$5:$E$148,"是"),"")</f>
        <v/>
      </c>
      <c r="D237" s="336">
        <f>IF(COUNTIFS($A$5:$A$148,$A237,$C$5:$C$148,$B237,$E$5:$E$148,"是",$G$5:$G$148,"&gt;=0")=3,AVERAGEIFS($G$5:$G$148,$A$5:$A$148,$A237,$C$5:$C$148,$B237,$E$5:$E$148,"是"),"")</f>
        <v/>
      </c>
      <c r="E237" s="336">
        <f>IF(COUNTIFS($A$5:$A$148,$A237,$C$5:$C$148,$B237,$E$5:$E$148,"是",$H$5:$H$148,"&gt;=0")=3,AVERAGEIFS($H$5:$H$148,$A$5:$A$148,$A237,$C$5:$C$148,$B237,$E$5:$E$148,"是"),"")</f>
        <v/>
      </c>
      <c r="F237" s="336">
        <f>IF(COUNTIFS($A$5:$A$148,$A237,$C$5:$C$148,$B237,$E$5:$E$148,"是",$I$5:$I$148,"&gt;=0")=3,AVERAGEIFS($I$5:$I$148,$A$5:$A$148,$A237,$C$5:$C$148,$B237,$E$5:$E$148,"是"),"")</f>
        <v/>
      </c>
      <c r="G237" s="336">
        <f>IF(COUNTIFS($A$5:$A$148,$A237,$C$5:$C$148,$B237,$E$5:$E$148,"是",$J$5:$J$148,"&gt;=0")=3,AVERAGEIFS($J$5:$J$148,$A$5:$A$148,$A237,$C$5:$C$148,$B237,$E$5:$E$148,"是"),"")</f>
        <v/>
      </c>
      <c r="H237" s="336">
        <f>IF(COUNTIFS($A$5:$A$148,$A237,$C$5:$C$148,$B237,$E$5:$E$148,"是",$K$5:$K$148,"&gt;=0")=3,AVERAGEIFS($K$5:$K$148,$A$5:$A$148,$A237,$C$5:$C$148,$B237,$E$5:$E$148,"是"),"")</f>
        <v/>
      </c>
      <c r="I237" s="336">
        <f>IF(COUNTIFS($A$5:$A$148,$A237,$C$5:$C$148,$B237,$E$5:$E$148,"是",$L$5:$L$148,"&gt;=0")=3,AVERAGEIFS($L$5:$L$148,$A$5:$A$148,$A237,$C$5:$C$148,$B237,$E$5:$E$148,"是"),"")</f>
        <v/>
      </c>
      <c r="J237" s="336">
        <f>IF(COUNTIFS($A$5:$A$148,$A237,$C$5:$C$148,$B237,$E$5:$E$148,"是",$M$5:$M$148,"&gt;=0")=3,AVERAGEIFS($M$5:$M$148,$A$5:$A$148,$A237,$C$5:$C$148,$B237,$E$5:$E$148,"是"),"")</f>
        <v/>
      </c>
      <c r="K237" s="336">
        <f>IF(COUNTIFS($A$5:$A$148,$A237,$C$5:$C$148,$B237,$E$5:$E$148,"是",$N$5:$N$148,"&gt;=0")=3,AVERAGEIFS($N$5:$N$148,$A$5:$A$148,$A237,$C$5:$C$148,$B237,$E$5:$E$148,"是"),"")</f>
        <v/>
      </c>
      <c r="L237" s="336">
        <f>IF(COUNTIFS($A$152:$A$199,$A237,$B$152:$B$199,$B237,$D$152:$D$199,"是",$R$152:$R$199,"&gt;=0")=1,AVERAGEIFS($R$152:$R$199,$A$152:$A$199,$A237,$B$152:$B$199,$B237,$D$152:$D$199,"是"),"")</f>
        <v/>
      </c>
      <c r="M237" s="336">
        <f>IF(COUNTIFS($A$152:$A$199,$A237,$B$152:$B$199,$B237,$D$152:$D$199,"是",$S$152:$S$199,"&gt;=0")=1,AVERAGEIFS($S$152:$S$199,$A$152:$A$199,$A237,$B$152:$B$199,$B237,$D$152:$D$199,"是"),"")</f>
        <v/>
      </c>
      <c r="N237" s="336">
        <f>IF(COUNTIFS($A$152:$A$199,$A237,$B$152:$B$199,$B237,$D$152:$D$199,"是",$T$152:$T$199,"&gt;=0")=1,AVERAGEIFS($T$152:$T$199,$A$152:$A$199,$A237,$B$152:$B$199,$B237,$D$152:$D$199,"是"),"")</f>
        <v/>
      </c>
      <c r="O237" s="336">
        <f>IF(COUNTIFS($A$5:$A$148,$A237,$C$5:$C$148,$B237,$E$5:$E$148,"是",$O$5:$O$148,"&gt;=0")=3,AVERAGEIFS($O$5:$O$148,$A$5:$A$148,$A237,$C$5:$C$148,$B237,$E$5:$E$148,"是"),"")</f>
        <v/>
      </c>
      <c r="P237" s="336">
        <f>IF(COUNTIFS($A$5:$A$148,$A237,$C$5:$C$148,$B237,$E$5:$E$148,"是",$R$5:$R$148,"&gt;=0")=3,AVERAGEIFS($R$5:$R$148,$A$5:$A$148,$A237,$C$5:$C$148,$B237,$E$5:$E$148,"是"),"")</f>
        <v/>
      </c>
      <c r="Q237" s="336">
        <f>IF(COUNTIFS($A$5:$A$148,$A237,$C$5:$C$148,$B237,$E$5:$E$148,"是",$S$5:$S$148,"&gt;=0")=3,AVERAGEIFS($S$5:$S$148,$A$5:$A$148,$A237,$C$5:$C$148,$B237,$E$5:$E$148,"是"),"")</f>
        <v/>
      </c>
      <c r="R237" s="336">
        <f>IF(COUNTIFS($A$5:$A$148,$A237,$C$5:$C$148,$B237,$E$5:$E$148,"是",$T$5:$T$148,"&gt;=0")=3,AVERAGEIFS($T$5:$T$148,$A$5:$A$148,$A237,$C$5:$C$148,$B237,$E$5:$E$148,"是"),"")</f>
        <v/>
      </c>
      <c r="S237" s="336">
        <f>IF(COUNTIFS($A$5:$A$148,$A237,$C$5:$C$148,$B237,$E$5:$E$148,"是",$U$5:$U$148,"&gt;=0")=3,AVERAGEIFS($U$5:$U$148,$A$5:$A$148,$A237,$C$5:$C$148,$B237,$E$5:$E$148,"是"),"")</f>
        <v/>
      </c>
      <c r="T237" s="336">
        <f>IF(COUNTIFS($A$5:$A$148,$A237,$C$5:$C$148,$B237,$E$5:$E$148,"是",$V$5:$V$148,"&gt;=0")=3,AVERAGEIFS($V$5:$V$148,$A$5:$A$148,$A237,$C$5:$C$148,$B237,$E$5:$E$148,"是"),"")</f>
        <v/>
      </c>
      <c r="U237" s="336">
        <f>COUNTIFS($A$5:$A$148,$A237,$C$5:$C$148,$B237,$E$5:$E$148,"是")</f>
        <v/>
      </c>
    </row>
    <row r="238">
      <c r="A238" s="335">
        <f>Participants!A14</f>
        <v/>
      </c>
      <c r="B238" s="335" t="inlineStr">
        <is>
          <t>One-Euro</t>
        </is>
      </c>
      <c r="C238" s="336">
        <f>IF(COUNTIFS($A$5:$A$148,$A238,$C$5:$C$148,$B238,$E$5:$E$148,"是",$F$5:$F$148,"&gt;=0")=3,AVERAGEIFS($F$5:$F$148,$A$5:$A$148,$A238,$C$5:$C$148,$B238,$E$5:$E$148,"是"),"")</f>
        <v/>
      </c>
      <c r="D238" s="336">
        <f>IF(COUNTIFS($A$5:$A$148,$A238,$C$5:$C$148,$B238,$E$5:$E$148,"是",$G$5:$G$148,"&gt;=0")=3,AVERAGEIFS($G$5:$G$148,$A$5:$A$148,$A238,$C$5:$C$148,$B238,$E$5:$E$148,"是"),"")</f>
        <v/>
      </c>
      <c r="E238" s="336">
        <f>IF(COUNTIFS($A$5:$A$148,$A238,$C$5:$C$148,$B238,$E$5:$E$148,"是",$H$5:$H$148,"&gt;=0")=3,AVERAGEIFS($H$5:$H$148,$A$5:$A$148,$A238,$C$5:$C$148,$B238,$E$5:$E$148,"是"),"")</f>
        <v/>
      </c>
      <c r="F238" s="336">
        <f>IF(COUNTIFS($A$5:$A$148,$A238,$C$5:$C$148,$B238,$E$5:$E$148,"是",$I$5:$I$148,"&gt;=0")=3,AVERAGEIFS($I$5:$I$148,$A$5:$A$148,$A238,$C$5:$C$148,$B238,$E$5:$E$148,"是"),"")</f>
        <v/>
      </c>
      <c r="G238" s="336">
        <f>IF(COUNTIFS($A$5:$A$148,$A238,$C$5:$C$148,$B238,$E$5:$E$148,"是",$J$5:$J$148,"&gt;=0")=3,AVERAGEIFS($J$5:$J$148,$A$5:$A$148,$A238,$C$5:$C$148,$B238,$E$5:$E$148,"是"),"")</f>
        <v/>
      </c>
      <c r="H238" s="336">
        <f>IF(COUNTIFS($A$5:$A$148,$A238,$C$5:$C$148,$B238,$E$5:$E$148,"是",$K$5:$K$148,"&gt;=0")=3,AVERAGEIFS($K$5:$K$148,$A$5:$A$148,$A238,$C$5:$C$148,$B238,$E$5:$E$148,"是"),"")</f>
        <v/>
      </c>
      <c r="I238" s="336">
        <f>IF(COUNTIFS($A$5:$A$148,$A238,$C$5:$C$148,$B238,$E$5:$E$148,"是",$L$5:$L$148,"&gt;=0")=3,AVERAGEIFS($L$5:$L$148,$A$5:$A$148,$A238,$C$5:$C$148,$B238,$E$5:$E$148,"是"),"")</f>
        <v/>
      </c>
      <c r="J238" s="336">
        <f>IF(COUNTIFS($A$5:$A$148,$A238,$C$5:$C$148,$B238,$E$5:$E$148,"是",$M$5:$M$148,"&gt;=0")=3,AVERAGEIFS($M$5:$M$148,$A$5:$A$148,$A238,$C$5:$C$148,$B238,$E$5:$E$148,"是"),"")</f>
        <v/>
      </c>
      <c r="K238" s="336">
        <f>IF(COUNTIFS($A$5:$A$148,$A238,$C$5:$C$148,$B238,$E$5:$E$148,"是",$N$5:$N$148,"&gt;=0")=3,AVERAGEIFS($N$5:$N$148,$A$5:$A$148,$A238,$C$5:$C$148,$B238,$E$5:$E$148,"是"),"")</f>
        <v/>
      </c>
      <c r="L238" s="336">
        <f>IF(COUNTIFS($A$152:$A$199,$A238,$B$152:$B$199,$B238,$D$152:$D$199,"是",$R$152:$R$199,"&gt;=0")=1,AVERAGEIFS($R$152:$R$199,$A$152:$A$199,$A238,$B$152:$B$199,$B238,$D$152:$D$199,"是"),"")</f>
        <v/>
      </c>
      <c r="M238" s="336">
        <f>IF(COUNTIFS($A$152:$A$199,$A238,$B$152:$B$199,$B238,$D$152:$D$199,"是",$S$152:$S$199,"&gt;=0")=1,AVERAGEIFS($S$152:$S$199,$A$152:$A$199,$A238,$B$152:$B$199,$B238,$D$152:$D$199,"是"),"")</f>
        <v/>
      </c>
      <c r="N238" s="336">
        <f>IF(COUNTIFS($A$152:$A$199,$A238,$B$152:$B$199,$B238,$D$152:$D$199,"是",$T$152:$T$199,"&gt;=0")=1,AVERAGEIFS($T$152:$T$199,$A$152:$A$199,$A238,$B$152:$B$199,$B238,$D$152:$D$199,"是"),"")</f>
        <v/>
      </c>
      <c r="O238" s="336">
        <f>IF(COUNTIFS($A$5:$A$148,$A238,$C$5:$C$148,$B238,$E$5:$E$148,"是",$O$5:$O$148,"&gt;=0")=3,AVERAGEIFS($O$5:$O$148,$A$5:$A$148,$A238,$C$5:$C$148,$B238,$E$5:$E$148,"是"),"")</f>
        <v/>
      </c>
      <c r="P238" s="336">
        <f>IF(COUNTIFS($A$5:$A$148,$A238,$C$5:$C$148,$B238,$E$5:$E$148,"是",$R$5:$R$148,"&gt;=0")=3,AVERAGEIFS($R$5:$R$148,$A$5:$A$148,$A238,$C$5:$C$148,$B238,$E$5:$E$148,"是"),"")</f>
        <v/>
      </c>
      <c r="Q238" s="336">
        <f>IF(COUNTIFS($A$5:$A$148,$A238,$C$5:$C$148,$B238,$E$5:$E$148,"是",$S$5:$S$148,"&gt;=0")=3,AVERAGEIFS($S$5:$S$148,$A$5:$A$148,$A238,$C$5:$C$148,$B238,$E$5:$E$148,"是"),"")</f>
        <v/>
      </c>
      <c r="R238" s="336">
        <f>IF(COUNTIFS($A$5:$A$148,$A238,$C$5:$C$148,$B238,$E$5:$E$148,"是",$T$5:$T$148,"&gt;=0")=3,AVERAGEIFS($T$5:$T$148,$A$5:$A$148,$A238,$C$5:$C$148,$B238,$E$5:$E$148,"是"),"")</f>
        <v/>
      </c>
      <c r="S238" s="336">
        <f>IF(COUNTIFS($A$5:$A$148,$A238,$C$5:$C$148,$B238,$E$5:$E$148,"是",$U$5:$U$148,"&gt;=0")=3,AVERAGEIFS($U$5:$U$148,$A$5:$A$148,$A238,$C$5:$C$148,$B238,$E$5:$E$148,"是"),"")</f>
        <v/>
      </c>
      <c r="T238" s="336">
        <f>IF(COUNTIFS($A$5:$A$148,$A238,$C$5:$C$148,$B238,$E$5:$E$148,"是",$V$5:$V$148,"&gt;=0")=3,AVERAGEIFS($V$5:$V$148,$A$5:$A$148,$A238,$C$5:$C$148,$B238,$E$5:$E$148,"是"),"")</f>
        <v/>
      </c>
      <c r="U238" s="336">
        <f>COUNTIFS($A$5:$A$148,$A238,$C$5:$C$148,$B238,$E$5:$E$148,"是")</f>
        <v/>
      </c>
    </row>
    <row r="239">
      <c r="A239" s="335">
        <f>Participants!A15</f>
        <v/>
      </c>
      <c r="B239" s="335" t="inlineStr">
        <is>
          <t>One-Euro</t>
        </is>
      </c>
      <c r="C239" s="336">
        <f>IF(COUNTIFS($A$5:$A$148,$A239,$C$5:$C$148,$B239,$E$5:$E$148,"是",$F$5:$F$148,"&gt;=0")=3,AVERAGEIFS($F$5:$F$148,$A$5:$A$148,$A239,$C$5:$C$148,$B239,$E$5:$E$148,"是"),"")</f>
        <v/>
      </c>
      <c r="D239" s="336">
        <f>IF(COUNTIFS($A$5:$A$148,$A239,$C$5:$C$148,$B239,$E$5:$E$148,"是",$G$5:$G$148,"&gt;=0")=3,AVERAGEIFS($G$5:$G$148,$A$5:$A$148,$A239,$C$5:$C$148,$B239,$E$5:$E$148,"是"),"")</f>
        <v/>
      </c>
      <c r="E239" s="336">
        <f>IF(COUNTIFS($A$5:$A$148,$A239,$C$5:$C$148,$B239,$E$5:$E$148,"是",$H$5:$H$148,"&gt;=0")=3,AVERAGEIFS($H$5:$H$148,$A$5:$A$148,$A239,$C$5:$C$148,$B239,$E$5:$E$148,"是"),"")</f>
        <v/>
      </c>
      <c r="F239" s="336">
        <f>IF(COUNTIFS($A$5:$A$148,$A239,$C$5:$C$148,$B239,$E$5:$E$148,"是",$I$5:$I$148,"&gt;=0")=3,AVERAGEIFS($I$5:$I$148,$A$5:$A$148,$A239,$C$5:$C$148,$B239,$E$5:$E$148,"是"),"")</f>
        <v/>
      </c>
      <c r="G239" s="336">
        <f>IF(COUNTIFS($A$5:$A$148,$A239,$C$5:$C$148,$B239,$E$5:$E$148,"是",$J$5:$J$148,"&gt;=0")=3,AVERAGEIFS($J$5:$J$148,$A$5:$A$148,$A239,$C$5:$C$148,$B239,$E$5:$E$148,"是"),"")</f>
        <v/>
      </c>
      <c r="H239" s="336">
        <f>IF(COUNTIFS($A$5:$A$148,$A239,$C$5:$C$148,$B239,$E$5:$E$148,"是",$K$5:$K$148,"&gt;=0")=3,AVERAGEIFS($K$5:$K$148,$A$5:$A$148,$A239,$C$5:$C$148,$B239,$E$5:$E$148,"是"),"")</f>
        <v/>
      </c>
      <c r="I239" s="336">
        <f>IF(COUNTIFS($A$5:$A$148,$A239,$C$5:$C$148,$B239,$E$5:$E$148,"是",$L$5:$L$148,"&gt;=0")=3,AVERAGEIFS($L$5:$L$148,$A$5:$A$148,$A239,$C$5:$C$148,$B239,$E$5:$E$148,"是"),"")</f>
        <v/>
      </c>
      <c r="J239" s="336">
        <f>IF(COUNTIFS($A$5:$A$148,$A239,$C$5:$C$148,$B239,$E$5:$E$148,"是",$M$5:$M$148,"&gt;=0")=3,AVERAGEIFS($M$5:$M$148,$A$5:$A$148,$A239,$C$5:$C$148,$B239,$E$5:$E$148,"是"),"")</f>
        <v/>
      </c>
      <c r="K239" s="336">
        <f>IF(COUNTIFS($A$5:$A$148,$A239,$C$5:$C$148,$B239,$E$5:$E$148,"是",$N$5:$N$148,"&gt;=0")=3,AVERAGEIFS($N$5:$N$148,$A$5:$A$148,$A239,$C$5:$C$148,$B239,$E$5:$E$148,"是"),"")</f>
        <v/>
      </c>
      <c r="L239" s="336">
        <f>IF(COUNTIFS($A$152:$A$199,$A239,$B$152:$B$199,$B239,$D$152:$D$199,"是",$R$152:$R$199,"&gt;=0")=1,AVERAGEIFS($R$152:$R$199,$A$152:$A$199,$A239,$B$152:$B$199,$B239,$D$152:$D$199,"是"),"")</f>
        <v/>
      </c>
      <c r="M239" s="336">
        <f>IF(COUNTIFS($A$152:$A$199,$A239,$B$152:$B$199,$B239,$D$152:$D$199,"是",$S$152:$S$199,"&gt;=0")=1,AVERAGEIFS($S$152:$S$199,$A$152:$A$199,$A239,$B$152:$B$199,$B239,$D$152:$D$199,"是"),"")</f>
        <v/>
      </c>
      <c r="N239" s="336">
        <f>IF(COUNTIFS($A$152:$A$199,$A239,$B$152:$B$199,$B239,$D$152:$D$199,"是",$T$152:$T$199,"&gt;=0")=1,AVERAGEIFS($T$152:$T$199,$A$152:$A$199,$A239,$B$152:$B$199,$B239,$D$152:$D$199,"是"),"")</f>
        <v/>
      </c>
      <c r="O239" s="336">
        <f>IF(COUNTIFS($A$5:$A$148,$A239,$C$5:$C$148,$B239,$E$5:$E$148,"是",$O$5:$O$148,"&gt;=0")=3,AVERAGEIFS($O$5:$O$148,$A$5:$A$148,$A239,$C$5:$C$148,$B239,$E$5:$E$148,"是"),"")</f>
        <v/>
      </c>
      <c r="P239" s="336">
        <f>IF(COUNTIFS($A$5:$A$148,$A239,$C$5:$C$148,$B239,$E$5:$E$148,"是",$R$5:$R$148,"&gt;=0")=3,AVERAGEIFS($R$5:$R$148,$A$5:$A$148,$A239,$C$5:$C$148,$B239,$E$5:$E$148,"是"),"")</f>
        <v/>
      </c>
      <c r="Q239" s="336">
        <f>IF(COUNTIFS($A$5:$A$148,$A239,$C$5:$C$148,$B239,$E$5:$E$148,"是",$S$5:$S$148,"&gt;=0")=3,AVERAGEIFS($S$5:$S$148,$A$5:$A$148,$A239,$C$5:$C$148,$B239,$E$5:$E$148,"是"),"")</f>
        <v/>
      </c>
      <c r="R239" s="336">
        <f>IF(COUNTIFS($A$5:$A$148,$A239,$C$5:$C$148,$B239,$E$5:$E$148,"是",$T$5:$T$148,"&gt;=0")=3,AVERAGEIFS($T$5:$T$148,$A$5:$A$148,$A239,$C$5:$C$148,$B239,$E$5:$E$148,"是"),"")</f>
        <v/>
      </c>
      <c r="S239" s="336">
        <f>IF(COUNTIFS($A$5:$A$148,$A239,$C$5:$C$148,$B239,$E$5:$E$148,"是",$U$5:$U$148,"&gt;=0")=3,AVERAGEIFS($U$5:$U$148,$A$5:$A$148,$A239,$C$5:$C$148,$B239,$E$5:$E$148,"是"),"")</f>
        <v/>
      </c>
      <c r="T239" s="336">
        <f>IF(COUNTIFS($A$5:$A$148,$A239,$C$5:$C$148,$B239,$E$5:$E$148,"是",$V$5:$V$148,"&gt;=0")=3,AVERAGEIFS($V$5:$V$148,$A$5:$A$148,$A239,$C$5:$C$148,$B239,$E$5:$E$148,"是"),"")</f>
        <v/>
      </c>
      <c r="U239" s="336">
        <f>COUNTIFS($A$5:$A$148,$A239,$C$5:$C$148,$B239,$E$5:$E$148,"是")</f>
        <v/>
      </c>
    </row>
    <row r="240">
      <c r="A240" s="335">
        <f>Participants!A16</f>
        <v/>
      </c>
      <c r="B240" s="335" t="inlineStr">
        <is>
          <t>One-Euro</t>
        </is>
      </c>
      <c r="C240" s="336">
        <f>IF(COUNTIFS($A$5:$A$148,$A240,$C$5:$C$148,$B240,$E$5:$E$148,"是",$F$5:$F$148,"&gt;=0")=3,AVERAGEIFS($F$5:$F$148,$A$5:$A$148,$A240,$C$5:$C$148,$B240,$E$5:$E$148,"是"),"")</f>
        <v/>
      </c>
      <c r="D240" s="336">
        <f>IF(COUNTIFS($A$5:$A$148,$A240,$C$5:$C$148,$B240,$E$5:$E$148,"是",$G$5:$G$148,"&gt;=0")=3,AVERAGEIFS($G$5:$G$148,$A$5:$A$148,$A240,$C$5:$C$148,$B240,$E$5:$E$148,"是"),"")</f>
        <v/>
      </c>
      <c r="E240" s="336">
        <f>IF(COUNTIFS($A$5:$A$148,$A240,$C$5:$C$148,$B240,$E$5:$E$148,"是",$H$5:$H$148,"&gt;=0")=3,AVERAGEIFS($H$5:$H$148,$A$5:$A$148,$A240,$C$5:$C$148,$B240,$E$5:$E$148,"是"),"")</f>
        <v/>
      </c>
      <c r="F240" s="336">
        <f>IF(COUNTIFS($A$5:$A$148,$A240,$C$5:$C$148,$B240,$E$5:$E$148,"是",$I$5:$I$148,"&gt;=0")=3,AVERAGEIFS($I$5:$I$148,$A$5:$A$148,$A240,$C$5:$C$148,$B240,$E$5:$E$148,"是"),"")</f>
        <v/>
      </c>
      <c r="G240" s="336">
        <f>IF(COUNTIFS($A$5:$A$148,$A240,$C$5:$C$148,$B240,$E$5:$E$148,"是",$J$5:$J$148,"&gt;=0")=3,AVERAGEIFS($J$5:$J$148,$A$5:$A$148,$A240,$C$5:$C$148,$B240,$E$5:$E$148,"是"),"")</f>
        <v/>
      </c>
      <c r="H240" s="336">
        <f>IF(COUNTIFS($A$5:$A$148,$A240,$C$5:$C$148,$B240,$E$5:$E$148,"是",$K$5:$K$148,"&gt;=0")=3,AVERAGEIFS($K$5:$K$148,$A$5:$A$148,$A240,$C$5:$C$148,$B240,$E$5:$E$148,"是"),"")</f>
        <v/>
      </c>
      <c r="I240" s="336">
        <f>IF(COUNTIFS($A$5:$A$148,$A240,$C$5:$C$148,$B240,$E$5:$E$148,"是",$L$5:$L$148,"&gt;=0")=3,AVERAGEIFS($L$5:$L$148,$A$5:$A$148,$A240,$C$5:$C$148,$B240,$E$5:$E$148,"是"),"")</f>
        <v/>
      </c>
      <c r="J240" s="336">
        <f>IF(COUNTIFS($A$5:$A$148,$A240,$C$5:$C$148,$B240,$E$5:$E$148,"是",$M$5:$M$148,"&gt;=0")=3,AVERAGEIFS($M$5:$M$148,$A$5:$A$148,$A240,$C$5:$C$148,$B240,$E$5:$E$148,"是"),"")</f>
        <v/>
      </c>
      <c r="K240" s="336">
        <f>IF(COUNTIFS($A$5:$A$148,$A240,$C$5:$C$148,$B240,$E$5:$E$148,"是",$N$5:$N$148,"&gt;=0")=3,AVERAGEIFS($N$5:$N$148,$A$5:$A$148,$A240,$C$5:$C$148,$B240,$E$5:$E$148,"是"),"")</f>
        <v/>
      </c>
      <c r="L240" s="336">
        <f>IF(COUNTIFS($A$152:$A$199,$A240,$B$152:$B$199,$B240,$D$152:$D$199,"是",$R$152:$R$199,"&gt;=0")=1,AVERAGEIFS($R$152:$R$199,$A$152:$A$199,$A240,$B$152:$B$199,$B240,$D$152:$D$199,"是"),"")</f>
        <v/>
      </c>
      <c r="M240" s="336">
        <f>IF(COUNTIFS($A$152:$A$199,$A240,$B$152:$B$199,$B240,$D$152:$D$199,"是",$S$152:$S$199,"&gt;=0")=1,AVERAGEIFS($S$152:$S$199,$A$152:$A$199,$A240,$B$152:$B$199,$B240,$D$152:$D$199,"是"),"")</f>
        <v/>
      </c>
      <c r="N240" s="336">
        <f>IF(COUNTIFS($A$152:$A$199,$A240,$B$152:$B$199,$B240,$D$152:$D$199,"是",$T$152:$T$199,"&gt;=0")=1,AVERAGEIFS($T$152:$T$199,$A$152:$A$199,$A240,$B$152:$B$199,$B240,$D$152:$D$199,"是"),"")</f>
        <v/>
      </c>
      <c r="O240" s="336">
        <f>IF(COUNTIFS($A$5:$A$148,$A240,$C$5:$C$148,$B240,$E$5:$E$148,"是",$O$5:$O$148,"&gt;=0")=3,AVERAGEIFS($O$5:$O$148,$A$5:$A$148,$A240,$C$5:$C$148,$B240,$E$5:$E$148,"是"),"")</f>
        <v/>
      </c>
      <c r="P240" s="336">
        <f>IF(COUNTIFS($A$5:$A$148,$A240,$C$5:$C$148,$B240,$E$5:$E$148,"是",$R$5:$R$148,"&gt;=0")=3,AVERAGEIFS($R$5:$R$148,$A$5:$A$148,$A240,$C$5:$C$148,$B240,$E$5:$E$148,"是"),"")</f>
        <v/>
      </c>
      <c r="Q240" s="336">
        <f>IF(COUNTIFS($A$5:$A$148,$A240,$C$5:$C$148,$B240,$E$5:$E$148,"是",$S$5:$S$148,"&gt;=0")=3,AVERAGEIFS($S$5:$S$148,$A$5:$A$148,$A240,$C$5:$C$148,$B240,$E$5:$E$148,"是"),"")</f>
        <v/>
      </c>
      <c r="R240" s="336">
        <f>IF(COUNTIFS($A$5:$A$148,$A240,$C$5:$C$148,$B240,$E$5:$E$148,"是",$T$5:$T$148,"&gt;=0")=3,AVERAGEIFS($T$5:$T$148,$A$5:$A$148,$A240,$C$5:$C$148,$B240,$E$5:$E$148,"是"),"")</f>
        <v/>
      </c>
      <c r="S240" s="336">
        <f>IF(COUNTIFS($A$5:$A$148,$A240,$C$5:$C$148,$B240,$E$5:$E$148,"是",$U$5:$U$148,"&gt;=0")=3,AVERAGEIFS($U$5:$U$148,$A$5:$A$148,$A240,$C$5:$C$148,$B240,$E$5:$E$148,"是"),"")</f>
        <v/>
      </c>
      <c r="T240" s="336">
        <f>IF(COUNTIFS($A$5:$A$148,$A240,$C$5:$C$148,$B240,$E$5:$E$148,"是",$V$5:$V$148,"&gt;=0")=3,AVERAGEIFS($V$5:$V$148,$A$5:$A$148,$A240,$C$5:$C$148,$B240,$E$5:$E$148,"是"),"")</f>
        <v/>
      </c>
      <c r="U240" s="336">
        <f>COUNTIFS($A$5:$A$148,$A240,$C$5:$C$148,$B240,$E$5:$E$148,"是")</f>
        <v/>
      </c>
    </row>
    <row r="241">
      <c r="A241" s="335">
        <f>Participants!A17</f>
        <v/>
      </c>
      <c r="B241" s="335" t="inlineStr">
        <is>
          <t>One-Euro</t>
        </is>
      </c>
      <c r="C241" s="336">
        <f>IF(COUNTIFS($A$5:$A$148,$A241,$C$5:$C$148,$B241,$E$5:$E$148,"是",$F$5:$F$148,"&gt;=0")=3,AVERAGEIFS($F$5:$F$148,$A$5:$A$148,$A241,$C$5:$C$148,$B241,$E$5:$E$148,"是"),"")</f>
        <v/>
      </c>
      <c r="D241" s="336">
        <f>IF(COUNTIFS($A$5:$A$148,$A241,$C$5:$C$148,$B241,$E$5:$E$148,"是",$G$5:$G$148,"&gt;=0")=3,AVERAGEIFS($G$5:$G$148,$A$5:$A$148,$A241,$C$5:$C$148,$B241,$E$5:$E$148,"是"),"")</f>
        <v/>
      </c>
      <c r="E241" s="336">
        <f>IF(COUNTIFS($A$5:$A$148,$A241,$C$5:$C$148,$B241,$E$5:$E$148,"是",$H$5:$H$148,"&gt;=0")=3,AVERAGEIFS($H$5:$H$148,$A$5:$A$148,$A241,$C$5:$C$148,$B241,$E$5:$E$148,"是"),"")</f>
        <v/>
      </c>
      <c r="F241" s="336">
        <f>IF(COUNTIFS($A$5:$A$148,$A241,$C$5:$C$148,$B241,$E$5:$E$148,"是",$I$5:$I$148,"&gt;=0")=3,AVERAGEIFS($I$5:$I$148,$A$5:$A$148,$A241,$C$5:$C$148,$B241,$E$5:$E$148,"是"),"")</f>
        <v/>
      </c>
      <c r="G241" s="336">
        <f>IF(COUNTIFS($A$5:$A$148,$A241,$C$5:$C$148,$B241,$E$5:$E$148,"是",$J$5:$J$148,"&gt;=0")=3,AVERAGEIFS($J$5:$J$148,$A$5:$A$148,$A241,$C$5:$C$148,$B241,$E$5:$E$148,"是"),"")</f>
        <v/>
      </c>
      <c r="H241" s="336">
        <f>IF(COUNTIFS($A$5:$A$148,$A241,$C$5:$C$148,$B241,$E$5:$E$148,"是",$K$5:$K$148,"&gt;=0")=3,AVERAGEIFS($K$5:$K$148,$A$5:$A$148,$A241,$C$5:$C$148,$B241,$E$5:$E$148,"是"),"")</f>
        <v/>
      </c>
      <c r="I241" s="336">
        <f>IF(COUNTIFS($A$5:$A$148,$A241,$C$5:$C$148,$B241,$E$5:$E$148,"是",$L$5:$L$148,"&gt;=0")=3,AVERAGEIFS($L$5:$L$148,$A$5:$A$148,$A241,$C$5:$C$148,$B241,$E$5:$E$148,"是"),"")</f>
        <v/>
      </c>
      <c r="J241" s="336">
        <f>IF(COUNTIFS($A$5:$A$148,$A241,$C$5:$C$148,$B241,$E$5:$E$148,"是",$M$5:$M$148,"&gt;=0")=3,AVERAGEIFS($M$5:$M$148,$A$5:$A$148,$A241,$C$5:$C$148,$B241,$E$5:$E$148,"是"),"")</f>
        <v/>
      </c>
      <c r="K241" s="336">
        <f>IF(COUNTIFS($A$5:$A$148,$A241,$C$5:$C$148,$B241,$E$5:$E$148,"是",$N$5:$N$148,"&gt;=0")=3,AVERAGEIFS($N$5:$N$148,$A$5:$A$148,$A241,$C$5:$C$148,$B241,$E$5:$E$148,"是"),"")</f>
        <v/>
      </c>
      <c r="L241" s="336">
        <f>IF(COUNTIFS($A$152:$A$199,$A241,$B$152:$B$199,$B241,$D$152:$D$199,"是",$R$152:$R$199,"&gt;=0")=1,AVERAGEIFS($R$152:$R$199,$A$152:$A$199,$A241,$B$152:$B$199,$B241,$D$152:$D$199,"是"),"")</f>
        <v/>
      </c>
      <c r="M241" s="336">
        <f>IF(COUNTIFS($A$152:$A$199,$A241,$B$152:$B$199,$B241,$D$152:$D$199,"是",$S$152:$S$199,"&gt;=0")=1,AVERAGEIFS($S$152:$S$199,$A$152:$A$199,$A241,$B$152:$B$199,$B241,$D$152:$D$199,"是"),"")</f>
        <v/>
      </c>
      <c r="N241" s="336">
        <f>IF(COUNTIFS($A$152:$A$199,$A241,$B$152:$B$199,$B241,$D$152:$D$199,"是",$T$152:$T$199,"&gt;=0")=1,AVERAGEIFS($T$152:$T$199,$A$152:$A$199,$A241,$B$152:$B$199,$B241,$D$152:$D$199,"是"),"")</f>
        <v/>
      </c>
      <c r="O241" s="336">
        <f>IF(COUNTIFS($A$5:$A$148,$A241,$C$5:$C$148,$B241,$E$5:$E$148,"是",$O$5:$O$148,"&gt;=0")=3,AVERAGEIFS($O$5:$O$148,$A$5:$A$148,$A241,$C$5:$C$148,$B241,$E$5:$E$148,"是"),"")</f>
        <v/>
      </c>
      <c r="P241" s="336">
        <f>IF(COUNTIFS($A$5:$A$148,$A241,$C$5:$C$148,$B241,$E$5:$E$148,"是",$R$5:$R$148,"&gt;=0")=3,AVERAGEIFS($R$5:$R$148,$A$5:$A$148,$A241,$C$5:$C$148,$B241,$E$5:$E$148,"是"),"")</f>
        <v/>
      </c>
      <c r="Q241" s="336">
        <f>IF(COUNTIFS($A$5:$A$148,$A241,$C$5:$C$148,$B241,$E$5:$E$148,"是",$S$5:$S$148,"&gt;=0")=3,AVERAGEIFS($S$5:$S$148,$A$5:$A$148,$A241,$C$5:$C$148,$B241,$E$5:$E$148,"是"),"")</f>
        <v/>
      </c>
      <c r="R241" s="336">
        <f>IF(COUNTIFS($A$5:$A$148,$A241,$C$5:$C$148,$B241,$E$5:$E$148,"是",$T$5:$T$148,"&gt;=0")=3,AVERAGEIFS($T$5:$T$148,$A$5:$A$148,$A241,$C$5:$C$148,$B241,$E$5:$E$148,"是"),"")</f>
        <v/>
      </c>
      <c r="S241" s="336">
        <f>IF(COUNTIFS($A$5:$A$148,$A241,$C$5:$C$148,$B241,$E$5:$E$148,"是",$U$5:$U$148,"&gt;=0")=3,AVERAGEIFS($U$5:$U$148,$A$5:$A$148,$A241,$C$5:$C$148,$B241,$E$5:$E$148,"是"),"")</f>
        <v/>
      </c>
      <c r="T241" s="336">
        <f>IF(COUNTIFS($A$5:$A$148,$A241,$C$5:$C$148,$B241,$E$5:$E$148,"是",$V$5:$V$148,"&gt;=0")=3,AVERAGEIFS($V$5:$V$148,$A$5:$A$148,$A241,$C$5:$C$148,$B241,$E$5:$E$148,"是"),"")</f>
        <v/>
      </c>
      <c r="U241" s="336">
        <f>COUNTIFS($A$5:$A$148,$A241,$C$5:$C$148,$B241,$E$5:$E$148,"是")</f>
        <v/>
      </c>
    </row>
    <row r="242">
      <c r="A242" s="335">
        <f>Participants!A18</f>
        <v/>
      </c>
      <c r="B242" s="335" t="inlineStr">
        <is>
          <t>One-Euro</t>
        </is>
      </c>
      <c r="C242" s="336">
        <f>IF(COUNTIFS($A$5:$A$148,$A242,$C$5:$C$148,$B242,$E$5:$E$148,"是",$F$5:$F$148,"&gt;=0")=3,AVERAGEIFS($F$5:$F$148,$A$5:$A$148,$A242,$C$5:$C$148,$B242,$E$5:$E$148,"是"),"")</f>
        <v/>
      </c>
      <c r="D242" s="336">
        <f>IF(COUNTIFS($A$5:$A$148,$A242,$C$5:$C$148,$B242,$E$5:$E$148,"是",$G$5:$G$148,"&gt;=0")=3,AVERAGEIFS($G$5:$G$148,$A$5:$A$148,$A242,$C$5:$C$148,$B242,$E$5:$E$148,"是"),"")</f>
        <v/>
      </c>
      <c r="E242" s="336">
        <f>IF(COUNTIFS($A$5:$A$148,$A242,$C$5:$C$148,$B242,$E$5:$E$148,"是",$H$5:$H$148,"&gt;=0")=3,AVERAGEIFS($H$5:$H$148,$A$5:$A$148,$A242,$C$5:$C$148,$B242,$E$5:$E$148,"是"),"")</f>
        <v/>
      </c>
      <c r="F242" s="336">
        <f>IF(COUNTIFS($A$5:$A$148,$A242,$C$5:$C$148,$B242,$E$5:$E$148,"是",$I$5:$I$148,"&gt;=0")=3,AVERAGEIFS($I$5:$I$148,$A$5:$A$148,$A242,$C$5:$C$148,$B242,$E$5:$E$148,"是"),"")</f>
        <v/>
      </c>
      <c r="G242" s="336">
        <f>IF(COUNTIFS($A$5:$A$148,$A242,$C$5:$C$148,$B242,$E$5:$E$148,"是",$J$5:$J$148,"&gt;=0")=3,AVERAGEIFS($J$5:$J$148,$A$5:$A$148,$A242,$C$5:$C$148,$B242,$E$5:$E$148,"是"),"")</f>
        <v/>
      </c>
      <c r="H242" s="336">
        <f>IF(COUNTIFS($A$5:$A$148,$A242,$C$5:$C$148,$B242,$E$5:$E$148,"是",$K$5:$K$148,"&gt;=0")=3,AVERAGEIFS($K$5:$K$148,$A$5:$A$148,$A242,$C$5:$C$148,$B242,$E$5:$E$148,"是"),"")</f>
        <v/>
      </c>
      <c r="I242" s="336">
        <f>IF(COUNTIFS($A$5:$A$148,$A242,$C$5:$C$148,$B242,$E$5:$E$148,"是",$L$5:$L$148,"&gt;=0")=3,AVERAGEIFS($L$5:$L$148,$A$5:$A$148,$A242,$C$5:$C$148,$B242,$E$5:$E$148,"是"),"")</f>
        <v/>
      </c>
      <c r="J242" s="336">
        <f>IF(COUNTIFS($A$5:$A$148,$A242,$C$5:$C$148,$B242,$E$5:$E$148,"是",$M$5:$M$148,"&gt;=0")=3,AVERAGEIFS($M$5:$M$148,$A$5:$A$148,$A242,$C$5:$C$148,$B242,$E$5:$E$148,"是"),"")</f>
        <v/>
      </c>
      <c r="K242" s="336">
        <f>IF(COUNTIFS($A$5:$A$148,$A242,$C$5:$C$148,$B242,$E$5:$E$148,"是",$N$5:$N$148,"&gt;=0")=3,AVERAGEIFS($N$5:$N$148,$A$5:$A$148,$A242,$C$5:$C$148,$B242,$E$5:$E$148,"是"),"")</f>
        <v/>
      </c>
      <c r="L242" s="336">
        <f>IF(COUNTIFS($A$152:$A$199,$A242,$B$152:$B$199,$B242,$D$152:$D$199,"是",$R$152:$R$199,"&gt;=0")=1,AVERAGEIFS($R$152:$R$199,$A$152:$A$199,$A242,$B$152:$B$199,$B242,$D$152:$D$199,"是"),"")</f>
        <v/>
      </c>
      <c r="M242" s="336">
        <f>IF(COUNTIFS($A$152:$A$199,$A242,$B$152:$B$199,$B242,$D$152:$D$199,"是",$S$152:$S$199,"&gt;=0")=1,AVERAGEIFS($S$152:$S$199,$A$152:$A$199,$A242,$B$152:$B$199,$B242,$D$152:$D$199,"是"),"")</f>
        <v/>
      </c>
      <c r="N242" s="336">
        <f>IF(COUNTIFS($A$152:$A$199,$A242,$B$152:$B$199,$B242,$D$152:$D$199,"是",$T$152:$T$199,"&gt;=0")=1,AVERAGEIFS($T$152:$T$199,$A$152:$A$199,$A242,$B$152:$B$199,$B242,$D$152:$D$199,"是"),"")</f>
        <v/>
      </c>
      <c r="O242" s="336">
        <f>IF(COUNTIFS($A$5:$A$148,$A242,$C$5:$C$148,$B242,$E$5:$E$148,"是",$O$5:$O$148,"&gt;=0")=3,AVERAGEIFS($O$5:$O$148,$A$5:$A$148,$A242,$C$5:$C$148,$B242,$E$5:$E$148,"是"),"")</f>
        <v/>
      </c>
      <c r="P242" s="336">
        <f>IF(COUNTIFS($A$5:$A$148,$A242,$C$5:$C$148,$B242,$E$5:$E$148,"是",$R$5:$R$148,"&gt;=0")=3,AVERAGEIFS($R$5:$R$148,$A$5:$A$148,$A242,$C$5:$C$148,$B242,$E$5:$E$148,"是"),"")</f>
        <v/>
      </c>
      <c r="Q242" s="336">
        <f>IF(COUNTIFS($A$5:$A$148,$A242,$C$5:$C$148,$B242,$E$5:$E$148,"是",$S$5:$S$148,"&gt;=0")=3,AVERAGEIFS($S$5:$S$148,$A$5:$A$148,$A242,$C$5:$C$148,$B242,$E$5:$E$148,"是"),"")</f>
        <v/>
      </c>
      <c r="R242" s="336">
        <f>IF(COUNTIFS($A$5:$A$148,$A242,$C$5:$C$148,$B242,$E$5:$E$148,"是",$T$5:$T$148,"&gt;=0")=3,AVERAGEIFS($T$5:$T$148,$A$5:$A$148,$A242,$C$5:$C$148,$B242,$E$5:$E$148,"是"),"")</f>
        <v/>
      </c>
      <c r="S242" s="336">
        <f>IF(COUNTIFS($A$5:$A$148,$A242,$C$5:$C$148,$B242,$E$5:$E$148,"是",$U$5:$U$148,"&gt;=0")=3,AVERAGEIFS($U$5:$U$148,$A$5:$A$148,$A242,$C$5:$C$148,$B242,$E$5:$E$148,"是"),"")</f>
        <v/>
      </c>
      <c r="T242" s="336">
        <f>IF(COUNTIFS($A$5:$A$148,$A242,$C$5:$C$148,$B242,$E$5:$E$148,"是",$V$5:$V$148,"&gt;=0")=3,AVERAGEIFS($V$5:$V$148,$A$5:$A$148,$A242,$C$5:$C$148,$B242,$E$5:$E$148,"是"),"")</f>
        <v/>
      </c>
      <c r="U242" s="336">
        <f>COUNTIFS($A$5:$A$148,$A242,$C$5:$C$148,$B242,$E$5:$E$148,"是")</f>
        <v/>
      </c>
    </row>
    <row r="243">
      <c r="A243" s="335">
        <f>Participants!A19</f>
        <v/>
      </c>
      <c r="B243" s="335" t="inlineStr">
        <is>
          <t>One-Euro</t>
        </is>
      </c>
      <c r="C243" s="336">
        <f>IF(COUNTIFS($A$5:$A$148,$A243,$C$5:$C$148,$B243,$E$5:$E$148,"是",$F$5:$F$148,"&gt;=0")=3,AVERAGEIFS($F$5:$F$148,$A$5:$A$148,$A243,$C$5:$C$148,$B243,$E$5:$E$148,"是"),"")</f>
        <v/>
      </c>
      <c r="D243" s="336">
        <f>IF(COUNTIFS($A$5:$A$148,$A243,$C$5:$C$148,$B243,$E$5:$E$148,"是",$G$5:$G$148,"&gt;=0")=3,AVERAGEIFS($G$5:$G$148,$A$5:$A$148,$A243,$C$5:$C$148,$B243,$E$5:$E$148,"是"),"")</f>
        <v/>
      </c>
      <c r="E243" s="336">
        <f>IF(COUNTIFS($A$5:$A$148,$A243,$C$5:$C$148,$B243,$E$5:$E$148,"是",$H$5:$H$148,"&gt;=0")=3,AVERAGEIFS($H$5:$H$148,$A$5:$A$148,$A243,$C$5:$C$148,$B243,$E$5:$E$148,"是"),"")</f>
        <v/>
      </c>
      <c r="F243" s="336">
        <f>IF(COUNTIFS($A$5:$A$148,$A243,$C$5:$C$148,$B243,$E$5:$E$148,"是",$I$5:$I$148,"&gt;=0")=3,AVERAGEIFS($I$5:$I$148,$A$5:$A$148,$A243,$C$5:$C$148,$B243,$E$5:$E$148,"是"),"")</f>
        <v/>
      </c>
      <c r="G243" s="336">
        <f>IF(COUNTIFS($A$5:$A$148,$A243,$C$5:$C$148,$B243,$E$5:$E$148,"是",$J$5:$J$148,"&gt;=0")=3,AVERAGEIFS($J$5:$J$148,$A$5:$A$148,$A243,$C$5:$C$148,$B243,$E$5:$E$148,"是"),"")</f>
        <v/>
      </c>
      <c r="H243" s="336">
        <f>IF(COUNTIFS($A$5:$A$148,$A243,$C$5:$C$148,$B243,$E$5:$E$148,"是",$K$5:$K$148,"&gt;=0")=3,AVERAGEIFS($K$5:$K$148,$A$5:$A$148,$A243,$C$5:$C$148,$B243,$E$5:$E$148,"是"),"")</f>
        <v/>
      </c>
      <c r="I243" s="336">
        <f>IF(COUNTIFS($A$5:$A$148,$A243,$C$5:$C$148,$B243,$E$5:$E$148,"是",$L$5:$L$148,"&gt;=0")=3,AVERAGEIFS($L$5:$L$148,$A$5:$A$148,$A243,$C$5:$C$148,$B243,$E$5:$E$148,"是"),"")</f>
        <v/>
      </c>
      <c r="J243" s="336">
        <f>IF(COUNTIFS($A$5:$A$148,$A243,$C$5:$C$148,$B243,$E$5:$E$148,"是",$M$5:$M$148,"&gt;=0")=3,AVERAGEIFS($M$5:$M$148,$A$5:$A$148,$A243,$C$5:$C$148,$B243,$E$5:$E$148,"是"),"")</f>
        <v/>
      </c>
      <c r="K243" s="336">
        <f>IF(COUNTIFS($A$5:$A$148,$A243,$C$5:$C$148,$B243,$E$5:$E$148,"是",$N$5:$N$148,"&gt;=0")=3,AVERAGEIFS($N$5:$N$148,$A$5:$A$148,$A243,$C$5:$C$148,$B243,$E$5:$E$148,"是"),"")</f>
        <v/>
      </c>
      <c r="L243" s="336">
        <f>IF(COUNTIFS($A$152:$A$199,$A243,$B$152:$B$199,$B243,$D$152:$D$199,"是",$R$152:$R$199,"&gt;=0")=1,AVERAGEIFS($R$152:$R$199,$A$152:$A$199,$A243,$B$152:$B$199,$B243,$D$152:$D$199,"是"),"")</f>
        <v/>
      </c>
      <c r="M243" s="336">
        <f>IF(COUNTIFS($A$152:$A$199,$A243,$B$152:$B$199,$B243,$D$152:$D$199,"是",$S$152:$S$199,"&gt;=0")=1,AVERAGEIFS($S$152:$S$199,$A$152:$A$199,$A243,$B$152:$B$199,$B243,$D$152:$D$199,"是"),"")</f>
        <v/>
      </c>
      <c r="N243" s="336">
        <f>IF(COUNTIFS($A$152:$A$199,$A243,$B$152:$B$199,$B243,$D$152:$D$199,"是",$T$152:$T$199,"&gt;=0")=1,AVERAGEIFS($T$152:$T$199,$A$152:$A$199,$A243,$B$152:$B$199,$B243,$D$152:$D$199,"是"),"")</f>
        <v/>
      </c>
      <c r="O243" s="336">
        <f>IF(COUNTIFS($A$5:$A$148,$A243,$C$5:$C$148,$B243,$E$5:$E$148,"是",$O$5:$O$148,"&gt;=0")=3,AVERAGEIFS($O$5:$O$148,$A$5:$A$148,$A243,$C$5:$C$148,$B243,$E$5:$E$148,"是"),"")</f>
        <v/>
      </c>
      <c r="P243" s="336">
        <f>IF(COUNTIFS($A$5:$A$148,$A243,$C$5:$C$148,$B243,$E$5:$E$148,"是",$R$5:$R$148,"&gt;=0")=3,AVERAGEIFS($R$5:$R$148,$A$5:$A$148,$A243,$C$5:$C$148,$B243,$E$5:$E$148,"是"),"")</f>
        <v/>
      </c>
      <c r="Q243" s="336">
        <f>IF(COUNTIFS($A$5:$A$148,$A243,$C$5:$C$148,$B243,$E$5:$E$148,"是",$S$5:$S$148,"&gt;=0")=3,AVERAGEIFS($S$5:$S$148,$A$5:$A$148,$A243,$C$5:$C$148,$B243,$E$5:$E$148,"是"),"")</f>
        <v/>
      </c>
      <c r="R243" s="336">
        <f>IF(COUNTIFS($A$5:$A$148,$A243,$C$5:$C$148,$B243,$E$5:$E$148,"是",$T$5:$T$148,"&gt;=0")=3,AVERAGEIFS($T$5:$T$148,$A$5:$A$148,$A243,$C$5:$C$148,$B243,$E$5:$E$148,"是"),"")</f>
        <v/>
      </c>
      <c r="S243" s="336">
        <f>IF(COUNTIFS($A$5:$A$148,$A243,$C$5:$C$148,$B243,$E$5:$E$148,"是",$U$5:$U$148,"&gt;=0")=3,AVERAGEIFS($U$5:$U$148,$A$5:$A$148,$A243,$C$5:$C$148,$B243,$E$5:$E$148,"是"),"")</f>
        <v/>
      </c>
      <c r="T243" s="336">
        <f>IF(COUNTIFS($A$5:$A$148,$A243,$C$5:$C$148,$B243,$E$5:$E$148,"是",$V$5:$V$148,"&gt;=0")=3,AVERAGEIFS($V$5:$V$148,$A$5:$A$148,$A243,$C$5:$C$148,$B243,$E$5:$E$148,"是"),"")</f>
        <v/>
      </c>
      <c r="U243" s="336">
        <f>COUNTIFS($A$5:$A$148,$A243,$C$5:$C$148,$B243,$E$5:$E$148,"是")</f>
        <v/>
      </c>
    </row>
    <row r="244">
      <c r="A244" s="335">
        <f>Participants!A20</f>
        <v/>
      </c>
      <c r="B244" s="335" t="inlineStr">
        <is>
          <t>One-Euro</t>
        </is>
      </c>
      <c r="C244" s="336">
        <f>IF(COUNTIFS($A$5:$A$148,$A244,$C$5:$C$148,$B244,$E$5:$E$148,"是",$F$5:$F$148,"&gt;=0")=3,AVERAGEIFS($F$5:$F$148,$A$5:$A$148,$A244,$C$5:$C$148,$B244,$E$5:$E$148,"是"),"")</f>
        <v/>
      </c>
      <c r="D244" s="336">
        <f>IF(COUNTIFS($A$5:$A$148,$A244,$C$5:$C$148,$B244,$E$5:$E$148,"是",$G$5:$G$148,"&gt;=0")=3,AVERAGEIFS($G$5:$G$148,$A$5:$A$148,$A244,$C$5:$C$148,$B244,$E$5:$E$148,"是"),"")</f>
        <v/>
      </c>
      <c r="E244" s="336">
        <f>IF(COUNTIFS($A$5:$A$148,$A244,$C$5:$C$148,$B244,$E$5:$E$148,"是",$H$5:$H$148,"&gt;=0")=3,AVERAGEIFS($H$5:$H$148,$A$5:$A$148,$A244,$C$5:$C$148,$B244,$E$5:$E$148,"是"),"")</f>
        <v/>
      </c>
      <c r="F244" s="336">
        <f>IF(COUNTIFS($A$5:$A$148,$A244,$C$5:$C$148,$B244,$E$5:$E$148,"是",$I$5:$I$148,"&gt;=0")=3,AVERAGEIFS($I$5:$I$148,$A$5:$A$148,$A244,$C$5:$C$148,$B244,$E$5:$E$148,"是"),"")</f>
        <v/>
      </c>
      <c r="G244" s="336">
        <f>IF(COUNTIFS($A$5:$A$148,$A244,$C$5:$C$148,$B244,$E$5:$E$148,"是",$J$5:$J$148,"&gt;=0")=3,AVERAGEIFS($J$5:$J$148,$A$5:$A$148,$A244,$C$5:$C$148,$B244,$E$5:$E$148,"是"),"")</f>
        <v/>
      </c>
      <c r="H244" s="336">
        <f>IF(COUNTIFS($A$5:$A$148,$A244,$C$5:$C$148,$B244,$E$5:$E$148,"是",$K$5:$K$148,"&gt;=0")=3,AVERAGEIFS($K$5:$K$148,$A$5:$A$148,$A244,$C$5:$C$148,$B244,$E$5:$E$148,"是"),"")</f>
        <v/>
      </c>
      <c r="I244" s="336">
        <f>IF(COUNTIFS($A$5:$A$148,$A244,$C$5:$C$148,$B244,$E$5:$E$148,"是",$L$5:$L$148,"&gt;=0")=3,AVERAGEIFS($L$5:$L$148,$A$5:$A$148,$A244,$C$5:$C$148,$B244,$E$5:$E$148,"是"),"")</f>
        <v/>
      </c>
      <c r="J244" s="336">
        <f>IF(COUNTIFS($A$5:$A$148,$A244,$C$5:$C$148,$B244,$E$5:$E$148,"是",$M$5:$M$148,"&gt;=0")=3,AVERAGEIFS($M$5:$M$148,$A$5:$A$148,$A244,$C$5:$C$148,$B244,$E$5:$E$148,"是"),"")</f>
        <v/>
      </c>
      <c r="K244" s="336">
        <f>IF(COUNTIFS($A$5:$A$148,$A244,$C$5:$C$148,$B244,$E$5:$E$148,"是",$N$5:$N$148,"&gt;=0")=3,AVERAGEIFS($N$5:$N$148,$A$5:$A$148,$A244,$C$5:$C$148,$B244,$E$5:$E$148,"是"),"")</f>
        <v/>
      </c>
      <c r="L244" s="336">
        <f>IF(COUNTIFS($A$152:$A$199,$A244,$B$152:$B$199,$B244,$D$152:$D$199,"是",$R$152:$R$199,"&gt;=0")=1,AVERAGEIFS($R$152:$R$199,$A$152:$A$199,$A244,$B$152:$B$199,$B244,$D$152:$D$199,"是"),"")</f>
        <v/>
      </c>
      <c r="M244" s="336">
        <f>IF(COUNTIFS($A$152:$A$199,$A244,$B$152:$B$199,$B244,$D$152:$D$199,"是",$S$152:$S$199,"&gt;=0")=1,AVERAGEIFS($S$152:$S$199,$A$152:$A$199,$A244,$B$152:$B$199,$B244,$D$152:$D$199,"是"),"")</f>
        <v/>
      </c>
      <c r="N244" s="336">
        <f>IF(COUNTIFS($A$152:$A$199,$A244,$B$152:$B$199,$B244,$D$152:$D$199,"是",$T$152:$T$199,"&gt;=0")=1,AVERAGEIFS($T$152:$T$199,$A$152:$A$199,$A244,$B$152:$B$199,$B244,$D$152:$D$199,"是"),"")</f>
        <v/>
      </c>
      <c r="O244" s="336">
        <f>IF(COUNTIFS($A$5:$A$148,$A244,$C$5:$C$148,$B244,$E$5:$E$148,"是",$O$5:$O$148,"&gt;=0")=3,AVERAGEIFS($O$5:$O$148,$A$5:$A$148,$A244,$C$5:$C$148,$B244,$E$5:$E$148,"是"),"")</f>
        <v/>
      </c>
      <c r="P244" s="336">
        <f>IF(COUNTIFS($A$5:$A$148,$A244,$C$5:$C$148,$B244,$E$5:$E$148,"是",$R$5:$R$148,"&gt;=0")=3,AVERAGEIFS($R$5:$R$148,$A$5:$A$148,$A244,$C$5:$C$148,$B244,$E$5:$E$148,"是"),"")</f>
        <v/>
      </c>
      <c r="Q244" s="336">
        <f>IF(COUNTIFS($A$5:$A$148,$A244,$C$5:$C$148,$B244,$E$5:$E$148,"是",$S$5:$S$148,"&gt;=0")=3,AVERAGEIFS($S$5:$S$148,$A$5:$A$148,$A244,$C$5:$C$148,$B244,$E$5:$E$148,"是"),"")</f>
        <v/>
      </c>
      <c r="R244" s="336">
        <f>IF(COUNTIFS($A$5:$A$148,$A244,$C$5:$C$148,$B244,$E$5:$E$148,"是",$T$5:$T$148,"&gt;=0")=3,AVERAGEIFS($T$5:$T$148,$A$5:$A$148,$A244,$C$5:$C$148,$B244,$E$5:$E$148,"是"),"")</f>
        <v/>
      </c>
      <c r="S244" s="336">
        <f>IF(COUNTIFS($A$5:$A$148,$A244,$C$5:$C$148,$B244,$E$5:$E$148,"是",$U$5:$U$148,"&gt;=0")=3,AVERAGEIFS($U$5:$U$148,$A$5:$A$148,$A244,$C$5:$C$148,$B244,$E$5:$E$148,"是"),"")</f>
        <v/>
      </c>
      <c r="T244" s="336">
        <f>IF(COUNTIFS($A$5:$A$148,$A244,$C$5:$C$148,$B244,$E$5:$E$148,"是",$V$5:$V$148,"&gt;=0")=3,AVERAGEIFS($V$5:$V$148,$A$5:$A$148,$A244,$C$5:$C$148,$B244,$E$5:$E$148,"是"),"")</f>
        <v/>
      </c>
      <c r="U244" s="336">
        <f>COUNTIFS($A$5:$A$148,$A244,$C$5:$C$148,$B244,$E$5:$E$148,"是")</f>
        <v/>
      </c>
    </row>
    <row r="245">
      <c r="A245" s="335">
        <f>Participants!A21</f>
        <v/>
      </c>
      <c r="B245" s="335" t="inlineStr">
        <is>
          <t>One-Euro</t>
        </is>
      </c>
      <c r="C245" s="336">
        <f>IF(COUNTIFS($A$5:$A$148,$A245,$C$5:$C$148,$B245,$E$5:$E$148,"是",$F$5:$F$148,"&gt;=0")=3,AVERAGEIFS($F$5:$F$148,$A$5:$A$148,$A245,$C$5:$C$148,$B245,$E$5:$E$148,"是"),"")</f>
        <v/>
      </c>
      <c r="D245" s="336">
        <f>IF(COUNTIFS($A$5:$A$148,$A245,$C$5:$C$148,$B245,$E$5:$E$148,"是",$G$5:$G$148,"&gt;=0")=3,AVERAGEIFS($G$5:$G$148,$A$5:$A$148,$A245,$C$5:$C$148,$B245,$E$5:$E$148,"是"),"")</f>
        <v/>
      </c>
      <c r="E245" s="336">
        <f>IF(COUNTIFS($A$5:$A$148,$A245,$C$5:$C$148,$B245,$E$5:$E$148,"是",$H$5:$H$148,"&gt;=0")=3,AVERAGEIFS($H$5:$H$148,$A$5:$A$148,$A245,$C$5:$C$148,$B245,$E$5:$E$148,"是"),"")</f>
        <v/>
      </c>
      <c r="F245" s="336">
        <f>IF(COUNTIFS($A$5:$A$148,$A245,$C$5:$C$148,$B245,$E$5:$E$148,"是",$I$5:$I$148,"&gt;=0")=3,AVERAGEIFS($I$5:$I$148,$A$5:$A$148,$A245,$C$5:$C$148,$B245,$E$5:$E$148,"是"),"")</f>
        <v/>
      </c>
      <c r="G245" s="336">
        <f>IF(COUNTIFS($A$5:$A$148,$A245,$C$5:$C$148,$B245,$E$5:$E$148,"是",$J$5:$J$148,"&gt;=0")=3,AVERAGEIFS($J$5:$J$148,$A$5:$A$148,$A245,$C$5:$C$148,$B245,$E$5:$E$148,"是"),"")</f>
        <v/>
      </c>
      <c r="H245" s="336">
        <f>IF(COUNTIFS($A$5:$A$148,$A245,$C$5:$C$148,$B245,$E$5:$E$148,"是",$K$5:$K$148,"&gt;=0")=3,AVERAGEIFS($K$5:$K$148,$A$5:$A$148,$A245,$C$5:$C$148,$B245,$E$5:$E$148,"是"),"")</f>
        <v/>
      </c>
      <c r="I245" s="336">
        <f>IF(COUNTIFS($A$5:$A$148,$A245,$C$5:$C$148,$B245,$E$5:$E$148,"是",$L$5:$L$148,"&gt;=0")=3,AVERAGEIFS($L$5:$L$148,$A$5:$A$148,$A245,$C$5:$C$148,$B245,$E$5:$E$148,"是"),"")</f>
        <v/>
      </c>
      <c r="J245" s="336">
        <f>IF(COUNTIFS($A$5:$A$148,$A245,$C$5:$C$148,$B245,$E$5:$E$148,"是",$M$5:$M$148,"&gt;=0")=3,AVERAGEIFS($M$5:$M$148,$A$5:$A$148,$A245,$C$5:$C$148,$B245,$E$5:$E$148,"是"),"")</f>
        <v/>
      </c>
      <c r="K245" s="336">
        <f>IF(COUNTIFS($A$5:$A$148,$A245,$C$5:$C$148,$B245,$E$5:$E$148,"是",$N$5:$N$148,"&gt;=0")=3,AVERAGEIFS($N$5:$N$148,$A$5:$A$148,$A245,$C$5:$C$148,$B245,$E$5:$E$148,"是"),"")</f>
        <v/>
      </c>
      <c r="L245" s="336">
        <f>IF(COUNTIFS($A$152:$A$199,$A245,$B$152:$B$199,$B245,$D$152:$D$199,"是",$R$152:$R$199,"&gt;=0")=1,AVERAGEIFS($R$152:$R$199,$A$152:$A$199,$A245,$B$152:$B$199,$B245,$D$152:$D$199,"是"),"")</f>
        <v/>
      </c>
      <c r="M245" s="336">
        <f>IF(COUNTIFS($A$152:$A$199,$A245,$B$152:$B$199,$B245,$D$152:$D$199,"是",$S$152:$S$199,"&gt;=0")=1,AVERAGEIFS($S$152:$S$199,$A$152:$A$199,$A245,$B$152:$B$199,$B245,$D$152:$D$199,"是"),"")</f>
        <v/>
      </c>
      <c r="N245" s="336">
        <f>IF(COUNTIFS($A$152:$A$199,$A245,$B$152:$B$199,$B245,$D$152:$D$199,"是",$T$152:$T$199,"&gt;=0")=1,AVERAGEIFS($T$152:$T$199,$A$152:$A$199,$A245,$B$152:$B$199,$B245,$D$152:$D$199,"是"),"")</f>
        <v/>
      </c>
      <c r="O245" s="336">
        <f>IF(COUNTIFS($A$5:$A$148,$A245,$C$5:$C$148,$B245,$E$5:$E$148,"是",$O$5:$O$148,"&gt;=0")=3,AVERAGEIFS($O$5:$O$148,$A$5:$A$148,$A245,$C$5:$C$148,$B245,$E$5:$E$148,"是"),"")</f>
        <v/>
      </c>
      <c r="P245" s="336">
        <f>IF(COUNTIFS($A$5:$A$148,$A245,$C$5:$C$148,$B245,$E$5:$E$148,"是",$R$5:$R$148,"&gt;=0")=3,AVERAGEIFS($R$5:$R$148,$A$5:$A$148,$A245,$C$5:$C$148,$B245,$E$5:$E$148,"是"),"")</f>
        <v/>
      </c>
      <c r="Q245" s="336">
        <f>IF(COUNTIFS($A$5:$A$148,$A245,$C$5:$C$148,$B245,$E$5:$E$148,"是",$S$5:$S$148,"&gt;=0")=3,AVERAGEIFS($S$5:$S$148,$A$5:$A$148,$A245,$C$5:$C$148,$B245,$E$5:$E$148,"是"),"")</f>
        <v/>
      </c>
      <c r="R245" s="336">
        <f>IF(COUNTIFS($A$5:$A$148,$A245,$C$5:$C$148,$B245,$E$5:$E$148,"是",$T$5:$T$148,"&gt;=0")=3,AVERAGEIFS($T$5:$T$148,$A$5:$A$148,$A245,$C$5:$C$148,$B245,$E$5:$E$148,"是"),"")</f>
        <v/>
      </c>
      <c r="S245" s="336">
        <f>IF(COUNTIFS($A$5:$A$148,$A245,$C$5:$C$148,$B245,$E$5:$E$148,"是",$U$5:$U$148,"&gt;=0")=3,AVERAGEIFS($U$5:$U$148,$A$5:$A$148,$A245,$C$5:$C$148,$B245,$E$5:$E$148,"是"),"")</f>
        <v/>
      </c>
      <c r="T245" s="336">
        <f>IF(COUNTIFS($A$5:$A$148,$A245,$C$5:$C$148,$B245,$E$5:$E$148,"是",$V$5:$V$148,"&gt;=0")=3,AVERAGEIFS($V$5:$V$148,$A$5:$A$148,$A245,$C$5:$C$148,$B245,$E$5:$E$148,"是"),"")</f>
        <v/>
      </c>
      <c r="U245" s="336">
        <f>COUNTIFS($A$5:$A$148,$A245,$C$5:$C$148,$B245,$E$5:$E$148,"是")</f>
        <v/>
      </c>
    </row>
    <row r="246">
      <c r="A246" s="335">
        <f>Participants!A22</f>
        <v/>
      </c>
      <c r="B246" s="335" t="inlineStr">
        <is>
          <t>One-Euro</t>
        </is>
      </c>
      <c r="C246" s="336">
        <f>IF(COUNTIFS($A$5:$A$148,$A246,$C$5:$C$148,$B246,$E$5:$E$148,"是",$F$5:$F$148,"&gt;=0")=3,AVERAGEIFS($F$5:$F$148,$A$5:$A$148,$A246,$C$5:$C$148,$B246,$E$5:$E$148,"是"),"")</f>
        <v/>
      </c>
      <c r="D246" s="336">
        <f>IF(COUNTIFS($A$5:$A$148,$A246,$C$5:$C$148,$B246,$E$5:$E$148,"是",$G$5:$G$148,"&gt;=0")=3,AVERAGEIFS($G$5:$G$148,$A$5:$A$148,$A246,$C$5:$C$148,$B246,$E$5:$E$148,"是"),"")</f>
        <v/>
      </c>
      <c r="E246" s="336">
        <f>IF(COUNTIFS($A$5:$A$148,$A246,$C$5:$C$148,$B246,$E$5:$E$148,"是",$H$5:$H$148,"&gt;=0")=3,AVERAGEIFS($H$5:$H$148,$A$5:$A$148,$A246,$C$5:$C$148,$B246,$E$5:$E$148,"是"),"")</f>
        <v/>
      </c>
      <c r="F246" s="336">
        <f>IF(COUNTIFS($A$5:$A$148,$A246,$C$5:$C$148,$B246,$E$5:$E$148,"是",$I$5:$I$148,"&gt;=0")=3,AVERAGEIFS($I$5:$I$148,$A$5:$A$148,$A246,$C$5:$C$148,$B246,$E$5:$E$148,"是"),"")</f>
        <v/>
      </c>
      <c r="G246" s="336">
        <f>IF(COUNTIFS($A$5:$A$148,$A246,$C$5:$C$148,$B246,$E$5:$E$148,"是",$J$5:$J$148,"&gt;=0")=3,AVERAGEIFS($J$5:$J$148,$A$5:$A$148,$A246,$C$5:$C$148,$B246,$E$5:$E$148,"是"),"")</f>
        <v/>
      </c>
      <c r="H246" s="336">
        <f>IF(COUNTIFS($A$5:$A$148,$A246,$C$5:$C$148,$B246,$E$5:$E$148,"是",$K$5:$K$148,"&gt;=0")=3,AVERAGEIFS($K$5:$K$148,$A$5:$A$148,$A246,$C$5:$C$148,$B246,$E$5:$E$148,"是"),"")</f>
        <v/>
      </c>
      <c r="I246" s="336">
        <f>IF(COUNTIFS($A$5:$A$148,$A246,$C$5:$C$148,$B246,$E$5:$E$148,"是",$L$5:$L$148,"&gt;=0")=3,AVERAGEIFS($L$5:$L$148,$A$5:$A$148,$A246,$C$5:$C$148,$B246,$E$5:$E$148,"是"),"")</f>
        <v/>
      </c>
      <c r="J246" s="336">
        <f>IF(COUNTIFS($A$5:$A$148,$A246,$C$5:$C$148,$B246,$E$5:$E$148,"是",$M$5:$M$148,"&gt;=0")=3,AVERAGEIFS($M$5:$M$148,$A$5:$A$148,$A246,$C$5:$C$148,$B246,$E$5:$E$148,"是"),"")</f>
        <v/>
      </c>
      <c r="K246" s="336">
        <f>IF(COUNTIFS($A$5:$A$148,$A246,$C$5:$C$148,$B246,$E$5:$E$148,"是",$N$5:$N$148,"&gt;=0")=3,AVERAGEIFS($N$5:$N$148,$A$5:$A$148,$A246,$C$5:$C$148,$B246,$E$5:$E$148,"是"),"")</f>
        <v/>
      </c>
      <c r="L246" s="336">
        <f>IF(COUNTIFS($A$152:$A$199,$A246,$B$152:$B$199,$B246,$D$152:$D$199,"是",$R$152:$R$199,"&gt;=0")=1,AVERAGEIFS($R$152:$R$199,$A$152:$A$199,$A246,$B$152:$B$199,$B246,$D$152:$D$199,"是"),"")</f>
        <v/>
      </c>
      <c r="M246" s="336">
        <f>IF(COUNTIFS($A$152:$A$199,$A246,$B$152:$B$199,$B246,$D$152:$D$199,"是",$S$152:$S$199,"&gt;=0")=1,AVERAGEIFS($S$152:$S$199,$A$152:$A$199,$A246,$B$152:$B$199,$B246,$D$152:$D$199,"是"),"")</f>
        <v/>
      </c>
      <c r="N246" s="336">
        <f>IF(COUNTIFS($A$152:$A$199,$A246,$B$152:$B$199,$B246,$D$152:$D$199,"是",$T$152:$T$199,"&gt;=0")=1,AVERAGEIFS($T$152:$T$199,$A$152:$A$199,$A246,$B$152:$B$199,$B246,$D$152:$D$199,"是"),"")</f>
        <v/>
      </c>
      <c r="O246" s="336">
        <f>IF(COUNTIFS($A$5:$A$148,$A246,$C$5:$C$148,$B246,$E$5:$E$148,"是",$O$5:$O$148,"&gt;=0")=3,AVERAGEIFS($O$5:$O$148,$A$5:$A$148,$A246,$C$5:$C$148,$B246,$E$5:$E$148,"是"),"")</f>
        <v/>
      </c>
      <c r="P246" s="336">
        <f>IF(COUNTIFS($A$5:$A$148,$A246,$C$5:$C$148,$B246,$E$5:$E$148,"是",$R$5:$R$148,"&gt;=0")=3,AVERAGEIFS($R$5:$R$148,$A$5:$A$148,$A246,$C$5:$C$148,$B246,$E$5:$E$148,"是"),"")</f>
        <v/>
      </c>
      <c r="Q246" s="336">
        <f>IF(COUNTIFS($A$5:$A$148,$A246,$C$5:$C$148,$B246,$E$5:$E$148,"是",$S$5:$S$148,"&gt;=0")=3,AVERAGEIFS($S$5:$S$148,$A$5:$A$148,$A246,$C$5:$C$148,$B246,$E$5:$E$148,"是"),"")</f>
        <v/>
      </c>
      <c r="R246" s="336">
        <f>IF(COUNTIFS($A$5:$A$148,$A246,$C$5:$C$148,$B246,$E$5:$E$148,"是",$T$5:$T$148,"&gt;=0")=3,AVERAGEIFS($T$5:$T$148,$A$5:$A$148,$A246,$C$5:$C$148,$B246,$E$5:$E$148,"是"),"")</f>
        <v/>
      </c>
      <c r="S246" s="336">
        <f>IF(COUNTIFS($A$5:$A$148,$A246,$C$5:$C$148,$B246,$E$5:$E$148,"是",$U$5:$U$148,"&gt;=0")=3,AVERAGEIFS($U$5:$U$148,$A$5:$A$148,$A246,$C$5:$C$148,$B246,$E$5:$E$148,"是"),"")</f>
        <v/>
      </c>
      <c r="T246" s="336">
        <f>IF(COUNTIFS($A$5:$A$148,$A246,$C$5:$C$148,$B246,$E$5:$E$148,"是",$V$5:$V$148,"&gt;=0")=3,AVERAGEIFS($V$5:$V$148,$A$5:$A$148,$A246,$C$5:$C$148,$B246,$E$5:$E$148,"是"),"")</f>
        <v/>
      </c>
      <c r="U246" s="336">
        <f>COUNTIFS($A$5:$A$148,$A246,$C$5:$C$148,$B246,$E$5:$E$148,"是")</f>
        <v/>
      </c>
    </row>
    <row r="247">
      <c r="A247" s="335">
        <f>Participants!A23</f>
        <v/>
      </c>
      <c r="B247" s="335" t="inlineStr">
        <is>
          <t>One-Euro</t>
        </is>
      </c>
      <c r="C247" s="336">
        <f>IF(COUNTIFS($A$5:$A$148,$A247,$C$5:$C$148,$B247,$E$5:$E$148,"是",$F$5:$F$148,"&gt;=0")=3,AVERAGEIFS($F$5:$F$148,$A$5:$A$148,$A247,$C$5:$C$148,$B247,$E$5:$E$148,"是"),"")</f>
        <v/>
      </c>
      <c r="D247" s="336">
        <f>IF(COUNTIFS($A$5:$A$148,$A247,$C$5:$C$148,$B247,$E$5:$E$148,"是",$G$5:$G$148,"&gt;=0")=3,AVERAGEIFS($G$5:$G$148,$A$5:$A$148,$A247,$C$5:$C$148,$B247,$E$5:$E$148,"是"),"")</f>
        <v/>
      </c>
      <c r="E247" s="336">
        <f>IF(COUNTIFS($A$5:$A$148,$A247,$C$5:$C$148,$B247,$E$5:$E$148,"是",$H$5:$H$148,"&gt;=0")=3,AVERAGEIFS($H$5:$H$148,$A$5:$A$148,$A247,$C$5:$C$148,$B247,$E$5:$E$148,"是"),"")</f>
        <v/>
      </c>
      <c r="F247" s="336">
        <f>IF(COUNTIFS($A$5:$A$148,$A247,$C$5:$C$148,$B247,$E$5:$E$148,"是",$I$5:$I$148,"&gt;=0")=3,AVERAGEIFS($I$5:$I$148,$A$5:$A$148,$A247,$C$5:$C$148,$B247,$E$5:$E$148,"是"),"")</f>
        <v/>
      </c>
      <c r="G247" s="336">
        <f>IF(COUNTIFS($A$5:$A$148,$A247,$C$5:$C$148,$B247,$E$5:$E$148,"是",$J$5:$J$148,"&gt;=0")=3,AVERAGEIFS($J$5:$J$148,$A$5:$A$148,$A247,$C$5:$C$148,$B247,$E$5:$E$148,"是"),"")</f>
        <v/>
      </c>
      <c r="H247" s="336">
        <f>IF(COUNTIFS($A$5:$A$148,$A247,$C$5:$C$148,$B247,$E$5:$E$148,"是",$K$5:$K$148,"&gt;=0")=3,AVERAGEIFS($K$5:$K$148,$A$5:$A$148,$A247,$C$5:$C$148,$B247,$E$5:$E$148,"是"),"")</f>
        <v/>
      </c>
      <c r="I247" s="336">
        <f>IF(COUNTIFS($A$5:$A$148,$A247,$C$5:$C$148,$B247,$E$5:$E$148,"是",$L$5:$L$148,"&gt;=0")=3,AVERAGEIFS($L$5:$L$148,$A$5:$A$148,$A247,$C$5:$C$148,$B247,$E$5:$E$148,"是"),"")</f>
        <v/>
      </c>
      <c r="J247" s="336">
        <f>IF(COUNTIFS($A$5:$A$148,$A247,$C$5:$C$148,$B247,$E$5:$E$148,"是",$M$5:$M$148,"&gt;=0")=3,AVERAGEIFS($M$5:$M$148,$A$5:$A$148,$A247,$C$5:$C$148,$B247,$E$5:$E$148,"是"),"")</f>
        <v/>
      </c>
      <c r="K247" s="336">
        <f>IF(COUNTIFS($A$5:$A$148,$A247,$C$5:$C$148,$B247,$E$5:$E$148,"是",$N$5:$N$148,"&gt;=0")=3,AVERAGEIFS($N$5:$N$148,$A$5:$A$148,$A247,$C$5:$C$148,$B247,$E$5:$E$148,"是"),"")</f>
        <v/>
      </c>
      <c r="L247" s="336">
        <f>IF(COUNTIFS($A$152:$A$199,$A247,$B$152:$B$199,$B247,$D$152:$D$199,"是",$R$152:$R$199,"&gt;=0")=1,AVERAGEIFS($R$152:$R$199,$A$152:$A$199,$A247,$B$152:$B$199,$B247,$D$152:$D$199,"是"),"")</f>
        <v/>
      </c>
      <c r="M247" s="336">
        <f>IF(COUNTIFS($A$152:$A$199,$A247,$B$152:$B$199,$B247,$D$152:$D$199,"是",$S$152:$S$199,"&gt;=0")=1,AVERAGEIFS($S$152:$S$199,$A$152:$A$199,$A247,$B$152:$B$199,$B247,$D$152:$D$199,"是"),"")</f>
        <v/>
      </c>
      <c r="N247" s="336">
        <f>IF(COUNTIFS($A$152:$A$199,$A247,$B$152:$B$199,$B247,$D$152:$D$199,"是",$T$152:$T$199,"&gt;=0")=1,AVERAGEIFS($T$152:$T$199,$A$152:$A$199,$A247,$B$152:$B$199,$B247,$D$152:$D$199,"是"),"")</f>
        <v/>
      </c>
      <c r="O247" s="336">
        <f>IF(COUNTIFS($A$5:$A$148,$A247,$C$5:$C$148,$B247,$E$5:$E$148,"是",$O$5:$O$148,"&gt;=0")=3,AVERAGEIFS($O$5:$O$148,$A$5:$A$148,$A247,$C$5:$C$148,$B247,$E$5:$E$148,"是"),"")</f>
        <v/>
      </c>
      <c r="P247" s="336">
        <f>IF(COUNTIFS($A$5:$A$148,$A247,$C$5:$C$148,$B247,$E$5:$E$148,"是",$R$5:$R$148,"&gt;=0")=3,AVERAGEIFS($R$5:$R$148,$A$5:$A$148,$A247,$C$5:$C$148,$B247,$E$5:$E$148,"是"),"")</f>
        <v/>
      </c>
      <c r="Q247" s="336">
        <f>IF(COUNTIFS($A$5:$A$148,$A247,$C$5:$C$148,$B247,$E$5:$E$148,"是",$S$5:$S$148,"&gt;=0")=3,AVERAGEIFS($S$5:$S$148,$A$5:$A$148,$A247,$C$5:$C$148,$B247,$E$5:$E$148,"是"),"")</f>
        <v/>
      </c>
      <c r="R247" s="336">
        <f>IF(COUNTIFS($A$5:$A$148,$A247,$C$5:$C$148,$B247,$E$5:$E$148,"是",$T$5:$T$148,"&gt;=0")=3,AVERAGEIFS($T$5:$T$148,$A$5:$A$148,$A247,$C$5:$C$148,$B247,$E$5:$E$148,"是"),"")</f>
        <v/>
      </c>
      <c r="S247" s="336">
        <f>IF(COUNTIFS($A$5:$A$148,$A247,$C$5:$C$148,$B247,$E$5:$E$148,"是",$U$5:$U$148,"&gt;=0")=3,AVERAGEIFS($U$5:$U$148,$A$5:$A$148,$A247,$C$5:$C$148,$B247,$E$5:$E$148,"是"),"")</f>
        <v/>
      </c>
      <c r="T247" s="336">
        <f>IF(COUNTIFS($A$5:$A$148,$A247,$C$5:$C$148,$B247,$E$5:$E$148,"是",$V$5:$V$148,"&gt;=0")=3,AVERAGEIFS($V$5:$V$148,$A$5:$A$148,$A247,$C$5:$C$148,$B247,$E$5:$E$148,"是"),"")</f>
        <v/>
      </c>
      <c r="U247" s="336">
        <f>COUNTIFS($A$5:$A$148,$A247,$C$5:$C$148,$B247,$E$5:$E$148,"是")</f>
        <v/>
      </c>
    </row>
    <row r="248">
      <c r="A248" s="335">
        <f>Participants!A24</f>
        <v/>
      </c>
      <c r="B248" s="335" t="inlineStr">
        <is>
          <t>One-Euro</t>
        </is>
      </c>
      <c r="C248" s="336">
        <f>IF(COUNTIFS($A$5:$A$148,$A248,$C$5:$C$148,$B248,$E$5:$E$148,"是",$F$5:$F$148,"&gt;=0")=3,AVERAGEIFS($F$5:$F$148,$A$5:$A$148,$A248,$C$5:$C$148,$B248,$E$5:$E$148,"是"),"")</f>
        <v/>
      </c>
      <c r="D248" s="336">
        <f>IF(COUNTIFS($A$5:$A$148,$A248,$C$5:$C$148,$B248,$E$5:$E$148,"是",$G$5:$G$148,"&gt;=0")=3,AVERAGEIFS($G$5:$G$148,$A$5:$A$148,$A248,$C$5:$C$148,$B248,$E$5:$E$148,"是"),"")</f>
        <v/>
      </c>
      <c r="E248" s="336">
        <f>IF(COUNTIFS($A$5:$A$148,$A248,$C$5:$C$148,$B248,$E$5:$E$148,"是",$H$5:$H$148,"&gt;=0")=3,AVERAGEIFS($H$5:$H$148,$A$5:$A$148,$A248,$C$5:$C$148,$B248,$E$5:$E$148,"是"),"")</f>
        <v/>
      </c>
      <c r="F248" s="336">
        <f>IF(COUNTIFS($A$5:$A$148,$A248,$C$5:$C$148,$B248,$E$5:$E$148,"是",$I$5:$I$148,"&gt;=0")=3,AVERAGEIFS($I$5:$I$148,$A$5:$A$148,$A248,$C$5:$C$148,$B248,$E$5:$E$148,"是"),"")</f>
        <v/>
      </c>
      <c r="G248" s="336">
        <f>IF(COUNTIFS($A$5:$A$148,$A248,$C$5:$C$148,$B248,$E$5:$E$148,"是",$J$5:$J$148,"&gt;=0")=3,AVERAGEIFS($J$5:$J$148,$A$5:$A$148,$A248,$C$5:$C$148,$B248,$E$5:$E$148,"是"),"")</f>
        <v/>
      </c>
      <c r="H248" s="336">
        <f>IF(COUNTIFS($A$5:$A$148,$A248,$C$5:$C$148,$B248,$E$5:$E$148,"是",$K$5:$K$148,"&gt;=0")=3,AVERAGEIFS($K$5:$K$148,$A$5:$A$148,$A248,$C$5:$C$148,$B248,$E$5:$E$148,"是"),"")</f>
        <v/>
      </c>
      <c r="I248" s="336">
        <f>IF(COUNTIFS($A$5:$A$148,$A248,$C$5:$C$148,$B248,$E$5:$E$148,"是",$L$5:$L$148,"&gt;=0")=3,AVERAGEIFS($L$5:$L$148,$A$5:$A$148,$A248,$C$5:$C$148,$B248,$E$5:$E$148,"是"),"")</f>
        <v/>
      </c>
      <c r="J248" s="336">
        <f>IF(COUNTIFS($A$5:$A$148,$A248,$C$5:$C$148,$B248,$E$5:$E$148,"是",$M$5:$M$148,"&gt;=0")=3,AVERAGEIFS($M$5:$M$148,$A$5:$A$148,$A248,$C$5:$C$148,$B248,$E$5:$E$148,"是"),"")</f>
        <v/>
      </c>
      <c r="K248" s="336">
        <f>IF(COUNTIFS($A$5:$A$148,$A248,$C$5:$C$148,$B248,$E$5:$E$148,"是",$N$5:$N$148,"&gt;=0")=3,AVERAGEIFS($N$5:$N$148,$A$5:$A$148,$A248,$C$5:$C$148,$B248,$E$5:$E$148,"是"),"")</f>
        <v/>
      </c>
      <c r="L248" s="336">
        <f>IF(COUNTIFS($A$152:$A$199,$A248,$B$152:$B$199,$B248,$D$152:$D$199,"是",$R$152:$R$199,"&gt;=0")=1,AVERAGEIFS($R$152:$R$199,$A$152:$A$199,$A248,$B$152:$B$199,$B248,$D$152:$D$199,"是"),"")</f>
        <v/>
      </c>
      <c r="M248" s="336">
        <f>IF(COUNTIFS($A$152:$A$199,$A248,$B$152:$B$199,$B248,$D$152:$D$199,"是",$S$152:$S$199,"&gt;=0")=1,AVERAGEIFS($S$152:$S$199,$A$152:$A$199,$A248,$B$152:$B$199,$B248,$D$152:$D$199,"是"),"")</f>
        <v/>
      </c>
      <c r="N248" s="336">
        <f>IF(COUNTIFS($A$152:$A$199,$A248,$B$152:$B$199,$B248,$D$152:$D$199,"是",$T$152:$T$199,"&gt;=0")=1,AVERAGEIFS($T$152:$T$199,$A$152:$A$199,$A248,$B$152:$B$199,$B248,$D$152:$D$199,"是"),"")</f>
        <v/>
      </c>
      <c r="O248" s="336">
        <f>IF(COUNTIFS($A$5:$A$148,$A248,$C$5:$C$148,$B248,$E$5:$E$148,"是",$O$5:$O$148,"&gt;=0")=3,AVERAGEIFS($O$5:$O$148,$A$5:$A$148,$A248,$C$5:$C$148,$B248,$E$5:$E$148,"是"),"")</f>
        <v/>
      </c>
      <c r="P248" s="336">
        <f>IF(COUNTIFS($A$5:$A$148,$A248,$C$5:$C$148,$B248,$E$5:$E$148,"是",$R$5:$R$148,"&gt;=0")=3,AVERAGEIFS($R$5:$R$148,$A$5:$A$148,$A248,$C$5:$C$148,$B248,$E$5:$E$148,"是"),"")</f>
        <v/>
      </c>
      <c r="Q248" s="336">
        <f>IF(COUNTIFS($A$5:$A$148,$A248,$C$5:$C$148,$B248,$E$5:$E$148,"是",$S$5:$S$148,"&gt;=0")=3,AVERAGEIFS($S$5:$S$148,$A$5:$A$148,$A248,$C$5:$C$148,$B248,$E$5:$E$148,"是"),"")</f>
        <v/>
      </c>
      <c r="R248" s="336">
        <f>IF(COUNTIFS($A$5:$A$148,$A248,$C$5:$C$148,$B248,$E$5:$E$148,"是",$T$5:$T$148,"&gt;=0")=3,AVERAGEIFS($T$5:$T$148,$A$5:$A$148,$A248,$C$5:$C$148,$B248,$E$5:$E$148,"是"),"")</f>
        <v/>
      </c>
      <c r="S248" s="336">
        <f>IF(COUNTIFS($A$5:$A$148,$A248,$C$5:$C$148,$B248,$E$5:$E$148,"是",$U$5:$U$148,"&gt;=0")=3,AVERAGEIFS($U$5:$U$148,$A$5:$A$148,$A248,$C$5:$C$148,$B248,$E$5:$E$148,"是"),"")</f>
        <v/>
      </c>
      <c r="T248" s="336">
        <f>IF(COUNTIFS($A$5:$A$148,$A248,$C$5:$C$148,$B248,$E$5:$E$148,"是",$V$5:$V$148,"&gt;=0")=3,AVERAGEIFS($V$5:$V$148,$A$5:$A$148,$A248,$C$5:$C$148,$B248,$E$5:$E$148,"是"),"")</f>
        <v/>
      </c>
      <c r="U248" s="336">
        <f>COUNTIFS($A$5:$A$148,$A248,$C$5:$C$148,$B248,$E$5:$E$148,"是")</f>
        <v/>
      </c>
    </row>
    <row r="249">
      <c r="A249" s="335">
        <f>Participants!A25</f>
        <v/>
      </c>
      <c r="B249" s="335" t="inlineStr">
        <is>
          <t>One-Euro</t>
        </is>
      </c>
      <c r="C249" s="336">
        <f>IF(COUNTIFS($A$5:$A$148,$A249,$C$5:$C$148,$B249,$E$5:$E$148,"是",$F$5:$F$148,"&gt;=0")=3,AVERAGEIFS($F$5:$F$148,$A$5:$A$148,$A249,$C$5:$C$148,$B249,$E$5:$E$148,"是"),"")</f>
        <v/>
      </c>
      <c r="D249" s="336">
        <f>IF(COUNTIFS($A$5:$A$148,$A249,$C$5:$C$148,$B249,$E$5:$E$148,"是",$G$5:$G$148,"&gt;=0")=3,AVERAGEIFS($G$5:$G$148,$A$5:$A$148,$A249,$C$5:$C$148,$B249,$E$5:$E$148,"是"),"")</f>
        <v/>
      </c>
      <c r="E249" s="336">
        <f>IF(COUNTIFS($A$5:$A$148,$A249,$C$5:$C$148,$B249,$E$5:$E$148,"是",$H$5:$H$148,"&gt;=0")=3,AVERAGEIFS($H$5:$H$148,$A$5:$A$148,$A249,$C$5:$C$148,$B249,$E$5:$E$148,"是"),"")</f>
        <v/>
      </c>
      <c r="F249" s="336">
        <f>IF(COUNTIFS($A$5:$A$148,$A249,$C$5:$C$148,$B249,$E$5:$E$148,"是",$I$5:$I$148,"&gt;=0")=3,AVERAGEIFS($I$5:$I$148,$A$5:$A$148,$A249,$C$5:$C$148,$B249,$E$5:$E$148,"是"),"")</f>
        <v/>
      </c>
      <c r="G249" s="336">
        <f>IF(COUNTIFS($A$5:$A$148,$A249,$C$5:$C$148,$B249,$E$5:$E$148,"是",$J$5:$J$148,"&gt;=0")=3,AVERAGEIFS($J$5:$J$148,$A$5:$A$148,$A249,$C$5:$C$148,$B249,$E$5:$E$148,"是"),"")</f>
        <v/>
      </c>
      <c r="H249" s="336">
        <f>IF(COUNTIFS($A$5:$A$148,$A249,$C$5:$C$148,$B249,$E$5:$E$148,"是",$K$5:$K$148,"&gt;=0")=3,AVERAGEIFS($K$5:$K$148,$A$5:$A$148,$A249,$C$5:$C$148,$B249,$E$5:$E$148,"是"),"")</f>
        <v/>
      </c>
      <c r="I249" s="336">
        <f>IF(COUNTIFS($A$5:$A$148,$A249,$C$5:$C$148,$B249,$E$5:$E$148,"是",$L$5:$L$148,"&gt;=0")=3,AVERAGEIFS($L$5:$L$148,$A$5:$A$148,$A249,$C$5:$C$148,$B249,$E$5:$E$148,"是"),"")</f>
        <v/>
      </c>
      <c r="J249" s="336">
        <f>IF(COUNTIFS($A$5:$A$148,$A249,$C$5:$C$148,$B249,$E$5:$E$148,"是",$M$5:$M$148,"&gt;=0")=3,AVERAGEIFS($M$5:$M$148,$A$5:$A$148,$A249,$C$5:$C$148,$B249,$E$5:$E$148,"是"),"")</f>
        <v/>
      </c>
      <c r="K249" s="336">
        <f>IF(COUNTIFS($A$5:$A$148,$A249,$C$5:$C$148,$B249,$E$5:$E$148,"是",$N$5:$N$148,"&gt;=0")=3,AVERAGEIFS($N$5:$N$148,$A$5:$A$148,$A249,$C$5:$C$148,$B249,$E$5:$E$148,"是"),"")</f>
        <v/>
      </c>
      <c r="L249" s="336">
        <f>IF(COUNTIFS($A$152:$A$199,$A249,$B$152:$B$199,$B249,$D$152:$D$199,"是",$R$152:$R$199,"&gt;=0")=1,AVERAGEIFS($R$152:$R$199,$A$152:$A$199,$A249,$B$152:$B$199,$B249,$D$152:$D$199,"是"),"")</f>
        <v/>
      </c>
      <c r="M249" s="336">
        <f>IF(COUNTIFS($A$152:$A$199,$A249,$B$152:$B$199,$B249,$D$152:$D$199,"是",$S$152:$S$199,"&gt;=0")=1,AVERAGEIFS($S$152:$S$199,$A$152:$A$199,$A249,$B$152:$B$199,$B249,$D$152:$D$199,"是"),"")</f>
        <v/>
      </c>
      <c r="N249" s="336">
        <f>IF(COUNTIFS($A$152:$A$199,$A249,$B$152:$B$199,$B249,$D$152:$D$199,"是",$T$152:$T$199,"&gt;=0")=1,AVERAGEIFS($T$152:$T$199,$A$152:$A$199,$A249,$B$152:$B$199,$B249,$D$152:$D$199,"是"),"")</f>
        <v/>
      </c>
      <c r="O249" s="336">
        <f>IF(COUNTIFS($A$5:$A$148,$A249,$C$5:$C$148,$B249,$E$5:$E$148,"是",$O$5:$O$148,"&gt;=0")=3,AVERAGEIFS($O$5:$O$148,$A$5:$A$148,$A249,$C$5:$C$148,$B249,$E$5:$E$148,"是"),"")</f>
        <v/>
      </c>
      <c r="P249" s="336">
        <f>IF(COUNTIFS($A$5:$A$148,$A249,$C$5:$C$148,$B249,$E$5:$E$148,"是",$R$5:$R$148,"&gt;=0")=3,AVERAGEIFS($R$5:$R$148,$A$5:$A$148,$A249,$C$5:$C$148,$B249,$E$5:$E$148,"是"),"")</f>
        <v/>
      </c>
      <c r="Q249" s="336">
        <f>IF(COUNTIFS($A$5:$A$148,$A249,$C$5:$C$148,$B249,$E$5:$E$148,"是",$S$5:$S$148,"&gt;=0")=3,AVERAGEIFS($S$5:$S$148,$A$5:$A$148,$A249,$C$5:$C$148,$B249,$E$5:$E$148,"是"),"")</f>
        <v/>
      </c>
      <c r="R249" s="336">
        <f>IF(COUNTIFS($A$5:$A$148,$A249,$C$5:$C$148,$B249,$E$5:$E$148,"是",$T$5:$T$148,"&gt;=0")=3,AVERAGEIFS($T$5:$T$148,$A$5:$A$148,$A249,$C$5:$C$148,$B249,$E$5:$E$148,"是"),"")</f>
        <v/>
      </c>
      <c r="S249" s="336">
        <f>IF(COUNTIFS($A$5:$A$148,$A249,$C$5:$C$148,$B249,$E$5:$E$148,"是",$U$5:$U$148,"&gt;=0")=3,AVERAGEIFS($U$5:$U$148,$A$5:$A$148,$A249,$C$5:$C$148,$B249,$E$5:$E$148,"是"),"")</f>
        <v/>
      </c>
      <c r="T249" s="336">
        <f>IF(COUNTIFS($A$5:$A$148,$A249,$C$5:$C$148,$B249,$E$5:$E$148,"是",$V$5:$V$148,"&gt;=0")=3,AVERAGEIFS($V$5:$V$148,$A$5:$A$148,$A249,$C$5:$C$148,$B249,$E$5:$E$148,"是"),"")</f>
        <v/>
      </c>
      <c r="U249" s="336">
        <f>COUNTIFS($A$5:$A$148,$A249,$C$5:$C$148,$B249,$E$5:$E$148,"是")</f>
        <v/>
      </c>
    </row>
    <row r="250">
      <c r="A250" s="335">
        <f>Participants!A26</f>
        <v/>
      </c>
      <c r="B250" s="335" t="inlineStr">
        <is>
          <t>One-Euro</t>
        </is>
      </c>
      <c r="C250" s="336">
        <f>IF(COUNTIFS($A$5:$A$148,$A250,$C$5:$C$148,$B250,$E$5:$E$148,"是",$F$5:$F$148,"&gt;=0")=3,AVERAGEIFS($F$5:$F$148,$A$5:$A$148,$A250,$C$5:$C$148,$B250,$E$5:$E$148,"是"),"")</f>
        <v/>
      </c>
      <c r="D250" s="336">
        <f>IF(COUNTIFS($A$5:$A$148,$A250,$C$5:$C$148,$B250,$E$5:$E$148,"是",$G$5:$G$148,"&gt;=0")=3,AVERAGEIFS($G$5:$G$148,$A$5:$A$148,$A250,$C$5:$C$148,$B250,$E$5:$E$148,"是"),"")</f>
        <v/>
      </c>
      <c r="E250" s="336">
        <f>IF(COUNTIFS($A$5:$A$148,$A250,$C$5:$C$148,$B250,$E$5:$E$148,"是",$H$5:$H$148,"&gt;=0")=3,AVERAGEIFS($H$5:$H$148,$A$5:$A$148,$A250,$C$5:$C$148,$B250,$E$5:$E$148,"是"),"")</f>
        <v/>
      </c>
      <c r="F250" s="336">
        <f>IF(COUNTIFS($A$5:$A$148,$A250,$C$5:$C$148,$B250,$E$5:$E$148,"是",$I$5:$I$148,"&gt;=0")=3,AVERAGEIFS($I$5:$I$148,$A$5:$A$148,$A250,$C$5:$C$148,$B250,$E$5:$E$148,"是"),"")</f>
        <v/>
      </c>
      <c r="G250" s="336">
        <f>IF(COUNTIFS($A$5:$A$148,$A250,$C$5:$C$148,$B250,$E$5:$E$148,"是",$J$5:$J$148,"&gt;=0")=3,AVERAGEIFS($J$5:$J$148,$A$5:$A$148,$A250,$C$5:$C$148,$B250,$E$5:$E$148,"是"),"")</f>
        <v/>
      </c>
      <c r="H250" s="336">
        <f>IF(COUNTIFS($A$5:$A$148,$A250,$C$5:$C$148,$B250,$E$5:$E$148,"是",$K$5:$K$148,"&gt;=0")=3,AVERAGEIFS($K$5:$K$148,$A$5:$A$148,$A250,$C$5:$C$148,$B250,$E$5:$E$148,"是"),"")</f>
        <v/>
      </c>
      <c r="I250" s="336">
        <f>IF(COUNTIFS($A$5:$A$148,$A250,$C$5:$C$148,$B250,$E$5:$E$148,"是",$L$5:$L$148,"&gt;=0")=3,AVERAGEIFS($L$5:$L$148,$A$5:$A$148,$A250,$C$5:$C$148,$B250,$E$5:$E$148,"是"),"")</f>
        <v/>
      </c>
      <c r="J250" s="336">
        <f>IF(COUNTIFS($A$5:$A$148,$A250,$C$5:$C$148,$B250,$E$5:$E$148,"是",$M$5:$M$148,"&gt;=0")=3,AVERAGEIFS($M$5:$M$148,$A$5:$A$148,$A250,$C$5:$C$148,$B250,$E$5:$E$148,"是"),"")</f>
        <v/>
      </c>
      <c r="K250" s="336">
        <f>IF(COUNTIFS($A$5:$A$148,$A250,$C$5:$C$148,$B250,$E$5:$E$148,"是",$N$5:$N$148,"&gt;=0")=3,AVERAGEIFS($N$5:$N$148,$A$5:$A$148,$A250,$C$5:$C$148,$B250,$E$5:$E$148,"是"),"")</f>
        <v/>
      </c>
      <c r="L250" s="336">
        <f>IF(COUNTIFS($A$152:$A$199,$A250,$B$152:$B$199,$B250,$D$152:$D$199,"是",$R$152:$R$199,"&gt;=0")=1,AVERAGEIFS($R$152:$R$199,$A$152:$A$199,$A250,$B$152:$B$199,$B250,$D$152:$D$199,"是"),"")</f>
        <v/>
      </c>
      <c r="M250" s="336">
        <f>IF(COUNTIFS($A$152:$A$199,$A250,$B$152:$B$199,$B250,$D$152:$D$199,"是",$S$152:$S$199,"&gt;=0")=1,AVERAGEIFS($S$152:$S$199,$A$152:$A$199,$A250,$B$152:$B$199,$B250,$D$152:$D$199,"是"),"")</f>
        <v/>
      </c>
      <c r="N250" s="336">
        <f>IF(COUNTIFS($A$152:$A$199,$A250,$B$152:$B$199,$B250,$D$152:$D$199,"是",$T$152:$T$199,"&gt;=0")=1,AVERAGEIFS($T$152:$T$199,$A$152:$A$199,$A250,$B$152:$B$199,$B250,$D$152:$D$199,"是"),"")</f>
        <v/>
      </c>
      <c r="O250" s="336">
        <f>IF(COUNTIFS($A$5:$A$148,$A250,$C$5:$C$148,$B250,$E$5:$E$148,"是",$O$5:$O$148,"&gt;=0")=3,AVERAGEIFS($O$5:$O$148,$A$5:$A$148,$A250,$C$5:$C$148,$B250,$E$5:$E$148,"是"),"")</f>
        <v/>
      </c>
      <c r="P250" s="336">
        <f>IF(COUNTIFS($A$5:$A$148,$A250,$C$5:$C$148,$B250,$E$5:$E$148,"是",$R$5:$R$148,"&gt;=0")=3,AVERAGEIFS($R$5:$R$148,$A$5:$A$148,$A250,$C$5:$C$148,$B250,$E$5:$E$148,"是"),"")</f>
        <v/>
      </c>
      <c r="Q250" s="336">
        <f>IF(COUNTIFS($A$5:$A$148,$A250,$C$5:$C$148,$B250,$E$5:$E$148,"是",$S$5:$S$148,"&gt;=0")=3,AVERAGEIFS($S$5:$S$148,$A$5:$A$148,$A250,$C$5:$C$148,$B250,$E$5:$E$148,"是"),"")</f>
        <v/>
      </c>
      <c r="R250" s="336">
        <f>IF(COUNTIFS($A$5:$A$148,$A250,$C$5:$C$148,$B250,$E$5:$E$148,"是",$T$5:$T$148,"&gt;=0")=3,AVERAGEIFS($T$5:$T$148,$A$5:$A$148,$A250,$C$5:$C$148,$B250,$E$5:$E$148,"是"),"")</f>
        <v/>
      </c>
      <c r="S250" s="336">
        <f>IF(COUNTIFS($A$5:$A$148,$A250,$C$5:$C$148,$B250,$E$5:$E$148,"是",$U$5:$U$148,"&gt;=0")=3,AVERAGEIFS($U$5:$U$148,$A$5:$A$148,$A250,$C$5:$C$148,$B250,$E$5:$E$148,"是"),"")</f>
        <v/>
      </c>
      <c r="T250" s="336">
        <f>IF(COUNTIFS($A$5:$A$148,$A250,$C$5:$C$148,$B250,$E$5:$E$148,"是",$V$5:$V$148,"&gt;=0")=3,AVERAGEIFS($V$5:$V$148,$A$5:$A$148,$A250,$C$5:$C$148,$B250,$E$5:$E$148,"是"),"")</f>
        <v/>
      </c>
      <c r="U250" s="336">
        <f>COUNTIFS($A$5:$A$148,$A250,$C$5:$C$148,$B250,$E$5:$E$148,"是")</f>
        <v/>
      </c>
    </row>
    <row r="251"/>
    <row r="252" ht="23" customHeight="1">
      <c r="A252" s="333" t="inlineStr">
        <is>
          <t>D4. 每人配对差：EgoAnchor − One-Euro；Participant_ID 校验应全部为 OK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 ht="30" customHeight="1">
      <c r="A253" s="334" t="inlineStr">
        <is>
          <t>Participant_ID</t>
        </is>
      </c>
      <c r="B253" s="334" t="inlineStr">
        <is>
          <t>Q1</t>
        </is>
      </c>
      <c r="C253" s="334" t="inlineStr">
        <is>
          <t>Q8</t>
        </is>
      </c>
      <c r="D253" s="334" t="inlineStr">
        <is>
          <t>Q2</t>
        </is>
      </c>
      <c r="E253" s="334" t="inlineStr">
        <is>
          <t>Q9</t>
        </is>
      </c>
      <c r="F253" s="334" t="inlineStr">
        <is>
          <t>Q3</t>
        </is>
      </c>
      <c r="G253" s="334" t="inlineStr">
        <is>
          <t>Q6</t>
        </is>
      </c>
      <c r="H253" s="334" t="inlineStr">
        <is>
          <t>Q7</t>
        </is>
      </c>
      <c r="I253" s="334" t="inlineStr">
        <is>
          <t>AQ_EQ</t>
        </is>
      </c>
      <c r="J253" s="334" t="inlineStr">
        <is>
          <t>AQ_IQ</t>
        </is>
      </c>
      <c r="K253" s="334" t="inlineStr">
        <is>
          <t>TIA_RC</t>
        </is>
      </c>
      <c r="L253" s="334" t="inlineStr">
        <is>
          <t>TIA_UP</t>
        </is>
      </c>
      <c r="M253" s="334" t="inlineStr">
        <is>
          <t>STIAS</t>
        </is>
      </c>
      <c r="N253" s="334" t="inlineStr">
        <is>
          <t>Pair_Check</t>
        </is>
      </c>
    </row>
    <row r="254">
      <c r="A254" s="335">
        <f>A203</f>
        <v/>
      </c>
      <c r="B254" s="335">
        <f>IF(OR(C203="",C227=""),"",C203-C227)</f>
        <v/>
      </c>
      <c r="C254" s="336">
        <f>IF(OR(D203="",D227=""),"",D203-D227)</f>
        <v/>
      </c>
      <c r="D254" s="336">
        <f>IF(OR(E203="",E227=""),"",E203-E227)</f>
        <v/>
      </c>
      <c r="E254" s="336">
        <f>IF(OR(F203="",F227=""),"",F203-F227)</f>
        <v/>
      </c>
      <c r="F254" s="336">
        <f>IF(OR(G203="",G227=""),"",G203-G227)</f>
        <v/>
      </c>
      <c r="G254" s="336">
        <f>IF(OR(H203="",H227=""),"",H203-H227)</f>
        <v/>
      </c>
      <c r="H254" s="336">
        <f>IF(OR(I203="",I227=""),"",I203-I227)</f>
        <v/>
      </c>
      <c r="I254" s="336">
        <f>IF(OR(J203="",J227=""),"",J203-J227)</f>
        <v/>
      </c>
      <c r="J254" s="336">
        <f>IF(OR(K203="",K227=""),"",K203-K227)</f>
        <v/>
      </c>
      <c r="K254" s="336">
        <f>IF(OR(L203="",L227=""),"",L203-L227)</f>
        <v/>
      </c>
      <c r="L254" s="336">
        <f>IF(OR(M203="",M227=""),"",M203-M227)</f>
        <v/>
      </c>
      <c r="M254" s="336">
        <f>IF(OR(N203="",N227=""),"",N203-N227)</f>
        <v/>
      </c>
      <c r="N254" s="337">
        <f>IF(A203=A227,"OK","ERROR")</f>
        <v/>
      </c>
    </row>
    <row r="255">
      <c r="A255" s="335">
        <f>A204</f>
        <v/>
      </c>
      <c r="B255" s="335">
        <f>IF(OR(C204="",C228=""),"",C204-C228)</f>
        <v/>
      </c>
      <c r="C255" s="336">
        <f>IF(OR(D204="",D228=""),"",D204-D228)</f>
        <v/>
      </c>
      <c r="D255" s="336">
        <f>IF(OR(E204="",E228=""),"",E204-E228)</f>
        <v/>
      </c>
      <c r="E255" s="336">
        <f>IF(OR(F204="",F228=""),"",F204-F228)</f>
        <v/>
      </c>
      <c r="F255" s="336">
        <f>IF(OR(G204="",G228=""),"",G204-G228)</f>
        <v/>
      </c>
      <c r="G255" s="336">
        <f>IF(OR(H204="",H228=""),"",H204-H228)</f>
        <v/>
      </c>
      <c r="H255" s="336">
        <f>IF(OR(I204="",I228=""),"",I204-I228)</f>
        <v/>
      </c>
      <c r="I255" s="336">
        <f>IF(OR(J204="",J228=""),"",J204-J228)</f>
        <v/>
      </c>
      <c r="J255" s="336">
        <f>IF(OR(K204="",K228=""),"",K204-K228)</f>
        <v/>
      </c>
      <c r="K255" s="336">
        <f>IF(OR(L204="",L228=""),"",L204-L228)</f>
        <v/>
      </c>
      <c r="L255" s="336">
        <f>IF(OR(M204="",M228=""),"",M204-M228)</f>
        <v/>
      </c>
      <c r="M255" s="336">
        <f>IF(OR(N204="",N228=""),"",N204-N228)</f>
        <v/>
      </c>
      <c r="N255" s="337">
        <f>IF(A204=A228,"OK","ERROR")</f>
        <v/>
      </c>
    </row>
    <row r="256">
      <c r="A256" s="335">
        <f>A205</f>
        <v/>
      </c>
      <c r="B256" s="335">
        <f>IF(OR(C205="",C229=""),"",C205-C229)</f>
        <v/>
      </c>
      <c r="C256" s="336">
        <f>IF(OR(D205="",D229=""),"",D205-D229)</f>
        <v/>
      </c>
      <c r="D256" s="336">
        <f>IF(OR(E205="",E229=""),"",E205-E229)</f>
        <v/>
      </c>
      <c r="E256" s="336">
        <f>IF(OR(F205="",F229=""),"",F205-F229)</f>
        <v/>
      </c>
      <c r="F256" s="336">
        <f>IF(OR(G205="",G229=""),"",G205-G229)</f>
        <v/>
      </c>
      <c r="G256" s="336">
        <f>IF(OR(H205="",H229=""),"",H205-H229)</f>
        <v/>
      </c>
      <c r="H256" s="336">
        <f>IF(OR(I205="",I229=""),"",I205-I229)</f>
        <v/>
      </c>
      <c r="I256" s="336">
        <f>IF(OR(J205="",J229=""),"",J205-J229)</f>
        <v/>
      </c>
      <c r="J256" s="336">
        <f>IF(OR(K205="",K229=""),"",K205-K229)</f>
        <v/>
      </c>
      <c r="K256" s="336">
        <f>IF(OR(L205="",L229=""),"",L205-L229)</f>
        <v/>
      </c>
      <c r="L256" s="336">
        <f>IF(OR(M205="",M229=""),"",M205-M229)</f>
        <v/>
      </c>
      <c r="M256" s="336">
        <f>IF(OR(N205="",N229=""),"",N205-N229)</f>
        <v/>
      </c>
      <c r="N256" s="337">
        <f>IF(A205=A229,"OK","ERROR")</f>
        <v/>
      </c>
    </row>
    <row r="257">
      <c r="A257" s="335">
        <f>A206</f>
        <v/>
      </c>
      <c r="B257" s="335">
        <f>IF(OR(C206="",C230=""),"",C206-C230)</f>
        <v/>
      </c>
      <c r="C257" s="336">
        <f>IF(OR(D206="",D230=""),"",D206-D230)</f>
        <v/>
      </c>
      <c r="D257" s="336">
        <f>IF(OR(E206="",E230=""),"",E206-E230)</f>
        <v/>
      </c>
      <c r="E257" s="336">
        <f>IF(OR(F206="",F230=""),"",F206-F230)</f>
        <v/>
      </c>
      <c r="F257" s="336">
        <f>IF(OR(G206="",G230=""),"",G206-G230)</f>
        <v/>
      </c>
      <c r="G257" s="336">
        <f>IF(OR(H206="",H230=""),"",H206-H230)</f>
        <v/>
      </c>
      <c r="H257" s="336">
        <f>IF(OR(I206="",I230=""),"",I206-I230)</f>
        <v/>
      </c>
      <c r="I257" s="336">
        <f>IF(OR(J206="",J230=""),"",J206-J230)</f>
        <v/>
      </c>
      <c r="J257" s="336">
        <f>IF(OR(K206="",K230=""),"",K206-K230)</f>
        <v/>
      </c>
      <c r="K257" s="336">
        <f>IF(OR(L206="",L230=""),"",L206-L230)</f>
        <v/>
      </c>
      <c r="L257" s="336">
        <f>IF(OR(M206="",M230=""),"",M206-M230)</f>
        <v/>
      </c>
      <c r="M257" s="336">
        <f>IF(OR(N206="",N230=""),"",N206-N230)</f>
        <v/>
      </c>
      <c r="N257" s="337">
        <f>IF(A206=A230,"OK","ERROR")</f>
        <v/>
      </c>
    </row>
    <row r="258">
      <c r="A258" s="335">
        <f>A207</f>
        <v/>
      </c>
      <c r="B258" s="335">
        <f>IF(OR(C207="",C231=""),"",C207-C231)</f>
        <v/>
      </c>
      <c r="C258" s="336">
        <f>IF(OR(D207="",D231=""),"",D207-D231)</f>
        <v/>
      </c>
      <c r="D258" s="336">
        <f>IF(OR(E207="",E231=""),"",E207-E231)</f>
        <v/>
      </c>
      <c r="E258" s="336">
        <f>IF(OR(F207="",F231=""),"",F207-F231)</f>
        <v/>
      </c>
      <c r="F258" s="336">
        <f>IF(OR(G207="",G231=""),"",G207-G231)</f>
        <v/>
      </c>
      <c r="G258" s="336">
        <f>IF(OR(H207="",H231=""),"",H207-H231)</f>
        <v/>
      </c>
      <c r="H258" s="336">
        <f>IF(OR(I207="",I231=""),"",I207-I231)</f>
        <v/>
      </c>
      <c r="I258" s="336">
        <f>IF(OR(J207="",J231=""),"",J207-J231)</f>
        <v/>
      </c>
      <c r="J258" s="336">
        <f>IF(OR(K207="",K231=""),"",K207-K231)</f>
        <v/>
      </c>
      <c r="K258" s="336">
        <f>IF(OR(L207="",L231=""),"",L207-L231)</f>
        <v/>
      </c>
      <c r="L258" s="336">
        <f>IF(OR(M207="",M231=""),"",M207-M231)</f>
        <v/>
      </c>
      <c r="M258" s="336">
        <f>IF(OR(N207="",N231=""),"",N207-N231)</f>
        <v/>
      </c>
      <c r="N258" s="337">
        <f>IF(A207=A231,"OK","ERROR")</f>
        <v/>
      </c>
    </row>
    <row r="259">
      <c r="A259" s="335">
        <f>A208</f>
        <v/>
      </c>
      <c r="B259" s="335">
        <f>IF(OR(C208="",C232=""),"",C208-C232)</f>
        <v/>
      </c>
      <c r="C259" s="336">
        <f>IF(OR(D208="",D232=""),"",D208-D232)</f>
        <v/>
      </c>
      <c r="D259" s="336">
        <f>IF(OR(E208="",E232=""),"",E208-E232)</f>
        <v/>
      </c>
      <c r="E259" s="336">
        <f>IF(OR(F208="",F232=""),"",F208-F232)</f>
        <v/>
      </c>
      <c r="F259" s="336">
        <f>IF(OR(G208="",G232=""),"",G208-G232)</f>
        <v/>
      </c>
      <c r="G259" s="336">
        <f>IF(OR(H208="",H232=""),"",H208-H232)</f>
        <v/>
      </c>
      <c r="H259" s="336">
        <f>IF(OR(I208="",I232=""),"",I208-I232)</f>
        <v/>
      </c>
      <c r="I259" s="336">
        <f>IF(OR(J208="",J232=""),"",J208-J232)</f>
        <v/>
      </c>
      <c r="J259" s="336">
        <f>IF(OR(K208="",K232=""),"",K208-K232)</f>
        <v/>
      </c>
      <c r="K259" s="336">
        <f>IF(OR(L208="",L232=""),"",L208-L232)</f>
        <v/>
      </c>
      <c r="L259" s="336">
        <f>IF(OR(M208="",M232=""),"",M208-M232)</f>
        <v/>
      </c>
      <c r="M259" s="336">
        <f>IF(OR(N208="",N232=""),"",N208-N232)</f>
        <v/>
      </c>
      <c r="N259" s="337">
        <f>IF(A208=A232,"OK","ERROR")</f>
        <v/>
      </c>
    </row>
    <row r="260">
      <c r="A260" s="335">
        <f>A209</f>
        <v/>
      </c>
      <c r="B260" s="335">
        <f>IF(OR(C209="",C233=""),"",C209-C233)</f>
        <v/>
      </c>
      <c r="C260" s="336">
        <f>IF(OR(D209="",D233=""),"",D209-D233)</f>
        <v/>
      </c>
      <c r="D260" s="336">
        <f>IF(OR(E209="",E233=""),"",E209-E233)</f>
        <v/>
      </c>
      <c r="E260" s="336">
        <f>IF(OR(F209="",F233=""),"",F209-F233)</f>
        <v/>
      </c>
      <c r="F260" s="336">
        <f>IF(OR(G209="",G233=""),"",G209-G233)</f>
        <v/>
      </c>
      <c r="G260" s="336">
        <f>IF(OR(H209="",H233=""),"",H209-H233)</f>
        <v/>
      </c>
      <c r="H260" s="336">
        <f>IF(OR(I209="",I233=""),"",I209-I233)</f>
        <v/>
      </c>
      <c r="I260" s="336">
        <f>IF(OR(J209="",J233=""),"",J209-J233)</f>
        <v/>
      </c>
      <c r="J260" s="336">
        <f>IF(OR(K209="",K233=""),"",K209-K233)</f>
        <v/>
      </c>
      <c r="K260" s="336">
        <f>IF(OR(L209="",L233=""),"",L209-L233)</f>
        <v/>
      </c>
      <c r="L260" s="336">
        <f>IF(OR(M209="",M233=""),"",M209-M233)</f>
        <v/>
      </c>
      <c r="M260" s="336">
        <f>IF(OR(N209="",N233=""),"",N209-N233)</f>
        <v/>
      </c>
      <c r="N260" s="337">
        <f>IF(A209=A233,"OK","ERROR")</f>
        <v/>
      </c>
    </row>
    <row r="261">
      <c r="A261" s="335">
        <f>A210</f>
        <v/>
      </c>
      <c r="B261" s="335">
        <f>IF(OR(C210="",C234=""),"",C210-C234)</f>
        <v/>
      </c>
      <c r="C261" s="336">
        <f>IF(OR(D210="",D234=""),"",D210-D234)</f>
        <v/>
      </c>
      <c r="D261" s="336">
        <f>IF(OR(E210="",E234=""),"",E210-E234)</f>
        <v/>
      </c>
      <c r="E261" s="336">
        <f>IF(OR(F210="",F234=""),"",F210-F234)</f>
        <v/>
      </c>
      <c r="F261" s="336">
        <f>IF(OR(G210="",G234=""),"",G210-G234)</f>
        <v/>
      </c>
      <c r="G261" s="336">
        <f>IF(OR(H210="",H234=""),"",H210-H234)</f>
        <v/>
      </c>
      <c r="H261" s="336">
        <f>IF(OR(I210="",I234=""),"",I210-I234)</f>
        <v/>
      </c>
      <c r="I261" s="336">
        <f>IF(OR(J210="",J234=""),"",J210-J234)</f>
        <v/>
      </c>
      <c r="J261" s="336">
        <f>IF(OR(K210="",K234=""),"",K210-K234)</f>
        <v/>
      </c>
      <c r="K261" s="336">
        <f>IF(OR(L210="",L234=""),"",L210-L234)</f>
        <v/>
      </c>
      <c r="L261" s="336">
        <f>IF(OR(M210="",M234=""),"",M210-M234)</f>
        <v/>
      </c>
      <c r="M261" s="336">
        <f>IF(OR(N210="",N234=""),"",N210-N234)</f>
        <v/>
      </c>
      <c r="N261" s="337">
        <f>IF(A210=A234,"OK","ERROR")</f>
        <v/>
      </c>
    </row>
    <row r="262">
      <c r="A262" s="335">
        <f>A211</f>
        <v/>
      </c>
      <c r="B262" s="335">
        <f>IF(OR(C211="",C235=""),"",C211-C235)</f>
        <v/>
      </c>
      <c r="C262" s="336">
        <f>IF(OR(D211="",D235=""),"",D211-D235)</f>
        <v/>
      </c>
      <c r="D262" s="336">
        <f>IF(OR(E211="",E235=""),"",E211-E235)</f>
        <v/>
      </c>
      <c r="E262" s="336">
        <f>IF(OR(F211="",F235=""),"",F211-F235)</f>
        <v/>
      </c>
      <c r="F262" s="336">
        <f>IF(OR(G211="",G235=""),"",G211-G235)</f>
        <v/>
      </c>
      <c r="G262" s="336">
        <f>IF(OR(H211="",H235=""),"",H211-H235)</f>
        <v/>
      </c>
      <c r="H262" s="336">
        <f>IF(OR(I211="",I235=""),"",I211-I235)</f>
        <v/>
      </c>
      <c r="I262" s="336">
        <f>IF(OR(J211="",J235=""),"",J211-J235)</f>
        <v/>
      </c>
      <c r="J262" s="336">
        <f>IF(OR(K211="",K235=""),"",K211-K235)</f>
        <v/>
      </c>
      <c r="K262" s="336">
        <f>IF(OR(L211="",L235=""),"",L211-L235)</f>
        <v/>
      </c>
      <c r="L262" s="336">
        <f>IF(OR(M211="",M235=""),"",M211-M235)</f>
        <v/>
      </c>
      <c r="M262" s="336">
        <f>IF(OR(N211="",N235=""),"",N211-N235)</f>
        <v/>
      </c>
      <c r="N262" s="337">
        <f>IF(A211=A235,"OK","ERROR")</f>
        <v/>
      </c>
    </row>
    <row r="263">
      <c r="A263" s="335">
        <f>A212</f>
        <v/>
      </c>
      <c r="B263" s="335">
        <f>IF(OR(C212="",C236=""),"",C212-C236)</f>
        <v/>
      </c>
      <c r="C263" s="336">
        <f>IF(OR(D212="",D236=""),"",D212-D236)</f>
        <v/>
      </c>
      <c r="D263" s="336">
        <f>IF(OR(E212="",E236=""),"",E212-E236)</f>
        <v/>
      </c>
      <c r="E263" s="336">
        <f>IF(OR(F212="",F236=""),"",F212-F236)</f>
        <v/>
      </c>
      <c r="F263" s="336">
        <f>IF(OR(G212="",G236=""),"",G212-G236)</f>
        <v/>
      </c>
      <c r="G263" s="336">
        <f>IF(OR(H212="",H236=""),"",H212-H236)</f>
        <v/>
      </c>
      <c r="H263" s="336">
        <f>IF(OR(I212="",I236=""),"",I212-I236)</f>
        <v/>
      </c>
      <c r="I263" s="336">
        <f>IF(OR(J212="",J236=""),"",J212-J236)</f>
        <v/>
      </c>
      <c r="J263" s="336">
        <f>IF(OR(K212="",K236=""),"",K212-K236)</f>
        <v/>
      </c>
      <c r="K263" s="336">
        <f>IF(OR(L212="",L236=""),"",L212-L236)</f>
        <v/>
      </c>
      <c r="L263" s="336">
        <f>IF(OR(M212="",M236=""),"",M212-M236)</f>
        <v/>
      </c>
      <c r="M263" s="336">
        <f>IF(OR(N212="",N236=""),"",N212-N236)</f>
        <v/>
      </c>
      <c r="N263" s="337">
        <f>IF(A212=A236,"OK","ERROR")</f>
        <v/>
      </c>
    </row>
    <row r="264">
      <c r="A264" s="335">
        <f>A213</f>
        <v/>
      </c>
      <c r="B264" s="335">
        <f>IF(OR(C213="",C237=""),"",C213-C237)</f>
        <v/>
      </c>
      <c r="C264" s="336">
        <f>IF(OR(D213="",D237=""),"",D213-D237)</f>
        <v/>
      </c>
      <c r="D264" s="336">
        <f>IF(OR(E213="",E237=""),"",E213-E237)</f>
        <v/>
      </c>
      <c r="E264" s="336">
        <f>IF(OR(F213="",F237=""),"",F213-F237)</f>
        <v/>
      </c>
      <c r="F264" s="336">
        <f>IF(OR(G213="",G237=""),"",G213-G237)</f>
        <v/>
      </c>
      <c r="G264" s="336">
        <f>IF(OR(H213="",H237=""),"",H213-H237)</f>
        <v/>
      </c>
      <c r="H264" s="336">
        <f>IF(OR(I213="",I237=""),"",I213-I237)</f>
        <v/>
      </c>
      <c r="I264" s="336">
        <f>IF(OR(J213="",J237=""),"",J213-J237)</f>
        <v/>
      </c>
      <c r="J264" s="336">
        <f>IF(OR(K213="",K237=""),"",K213-K237)</f>
        <v/>
      </c>
      <c r="K264" s="336">
        <f>IF(OR(L213="",L237=""),"",L213-L237)</f>
        <v/>
      </c>
      <c r="L264" s="336">
        <f>IF(OR(M213="",M237=""),"",M213-M237)</f>
        <v/>
      </c>
      <c r="M264" s="336">
        <f>IF(OR(N213="",N237=""),"",N213-N237)</f>
        <v/>
      </c>
      <c r="N264" s="337">
        <f>IF(A213=A237,"OK","ERROR")</f>
        <v/>
      </c>
    </row>
    <row r="265">
      <c r="A265" s="335">
        <f>A214</f>
        <v/>
      </c>
      <c r="B265" s="335">
        <f>IF(OR(C214="",C238=""),"",C214-C238)</f>
        <v/>
      </c>
      <c r="C265" s="336">
        <f>IF(OR(D214="",D238=""),"",D214-D238)</f>
        <v/>
      </c>
      <c r="D265" s="336">
        <f>IF(OR(E214="",E238=""),"",E214-E238)</f>
        <v/>
      </c>
      <c r="E265" s="336">
        <f>IF(OR(F214="",F238=""),"",F214-F238)</f>
        <v/>
      </c>
      <c r="F265" s="336">
        <f>IF(OR(G214="",G238=""),"",G214-G238)</f>
        <v/>
      </c>
      <c r="G265" s="336">
        <f>IF(OR(H214="",H238=""),"",H214-H238)</f>
        <v/>
      </c>
      <c r="H265" s="336">
        <f>IF(OR(I214="",I238=""),"",I214-I238)</f>
        <v/>
      </c>
      <c r="I265" s="336">
        <f>IF(OR(J214="",J238=""),"",J214-J238)</f>
        <v/>
      </c>
      <c r="J265" s="336">
        <f>IF(OR(K214="",K238=""),"",K214-K238)</f>
        <v/>
      </c>
      <c r="K265" s="336">
        <f>IF(OR(L214="",L238=""),"",L214-L238)</f>
        <v/>
      </c>
      <c r="L265" s="336">
        <f>IF(OR(M214="",M238=""),"",M214-M238)</f>
        <v/>
      </c>
      <c r="M265" s="336">
        <f>IF(OR(N214="",N238=""),"",N214-N238)</f>
        <v/>
      </c>
      <c r="N265" s="337">
        <f>IF(A214=A238,"OK","ERROR")</f>
        <v/>
      </c>
    </row>
    <row r="266">
      <c r="A266" s="335">
        <f>A215</f>
        <v/>
      </c>
      <c r="B266" s="335">
        <f>IF(OR(C215="",C239=""),"",C215-C239)</f>
        <v/>
      </c>
      <c r="C266" s="336">
        <f>IF(OR(D215="",D239=""),"",D215-D239)</f>
        <v/>
      </c>
      <c r="D266" s="336">
        <f>IF(OR(E215="",E239=""),"",E215-E239)</f>
        <v/>
      </c>
      <c r="E266" s="336">
        <f>IF(OR(F215="",F239=""),"",F215-F239)</f>
        <v/>
      </c>
      <c r="F266" s="336">
        <f>IF(OR(G215="",G239=""),"",G215-G239)</f>
        <v/>
      </c>
      <c r="G266" s="336">
        <f>IF(OR(H215="",H239=""),"",H215-H239)</f>
        <v/>
      </c>
      <c r="H266" s="336">
        <f>IF(OR(I215="",I239=""),"",I215-I239)</f>
        <v/>
      </c>
      <c r="I266" s="336">
        <f>IF(OR(J215="",J239=""),"",J215-J239)</f>
        <v/>
      </c>
      <c r="J266" s="336">
        <f>IF(OR(K215="",K239=""),"",K215-K239)</f>
        <v/>
      </c>
      <c r="K266" s="336">
        <f>IF(OR(L215="",L239=""),"",L215-L239)</f>
        <v/>
      </c>
      <c r="L266" s="336">
        <f>IF(OR(M215="",M239=""),"",M215-M239)</f>
        <v/>
      </c>
      <c r="M266" s="336">
        <f>IF(OR(N215="",N239=""),"",N215-N239)</f>
        <v/>
      </c>
      <c r="N266" s="337">
        <f>IF(A215=A239,"OK","ERROR")</f>
        <v/>
      </c>
    </row>
    <row r="267">
      <c r="A267" s="335">
        <f>A216</f>
        <v/>
      </c>
      <c r="B267" s="335">
        <f>IF(OR(C216="",C240=""),"",C216-C240)</f>
        <v/>
      </c>
      <c r="C267" s="336">
        <f>IF(OR(D216="",D240=""),"",D216-D240)</f>
        <v/>
      </c>
      <c r="D267" s="336">
        <f>IF(OR(E216="",E240=""),"",E216-E240)</f>
        <v/>
      </c>
      <c r="E267" s="336">
        <f>IF(OR(F216="",F240=""),"",F216-F240)</f>
        <v/>
      </c>
      <c r="F267" s="336">
        <f>IF(OR(G216="",G240=""),"",G216-G240)</f>
        <v/>
      </c>
      <c r="G267" s="336">
        <f>IF(OR(H216="",H240=""),"",H216-H240)</f>
        <v/>
      </c>
      <c r="H267" s="336">
        <f>IF(OR(I216="",I240=""),"",I216-I240)</f>
        <v/>
      </c>
      <c r="I267" s="336">
        <f>IF(OR(J216="",J240=""),"",J216-J240)</f>
        <v/>
      </c>
      <c r="J267" s="336">
        <f>IF(OR(K216="",K240=""),"",K216-K240)</f>
        <v/>
      </c>
      <c r="K267" s="336">
        <f>IF(OR(L216="",L240=""),"",L216-L240)</f>
        <v/>
      </c>
      <c r="L267" s="336">
        <f>IF(OR(M216="",M240=""),"",M216-M240)</f>
        <v/>
      </c>
      <c r="M267" s="336">
        <f>IF(OR(N216="",N240=""),"",N216-N240)</f>
        <v/>
      </c>
      <c r="N267" s="337">
        <f>IF(A216=A240,"OK","ERROR")</f>
        <v/>
      </c>
    </row>
    <row r="268">
      <c r="A268" s="335">
        <f>A217</f>
        <v/>
      </c>
      <c r="B268" s="335">
        <f>IF(OR(C217="",C241=""),"",C217-C241)</f>
        <v/>
      </c>
      <c r="C268" s="336">
        <f>IF(OR(D217="",D241=""),"",D217-D241)</f>
        <v/>
      </c>
      <c r="D268" s="336">
        <f>IF(OR(E217="",E241=""),"",E217-E241)</f>
        <v/>
      </c>
      <c r="E268" s="336">
        <f>IF(OR(F217="",F241=""),"",F217-F241)</f>
        <v/>
      </c>
      <c r="F268" s="336">
        <f>IF(OR(G217="",G241=""),"",G217-G241)</f>
        <v/>
      </c>
      <c r="G268" s="336">
        <f>IF(OR(H217="",H241=""),"",H217-H241)</f>
        <v/>
      </c>
      <c r="H268" s="336">
        <f>IF(OR(I217="",I241=""),"",I217-I241)</f>
        <v/>
      </c>
      <c r="I268" s="336">
        <f>IF(OR(J217="",J241=""),"",J217-J241)</f>
        <v/>
      </c>
      <c r="J268" s="336">
        <f>IF(OR(K217="",K241=""),"",K217-K241)</f>
        <v/>
      </c>
      <c r="K268" s="336">
        <f>IF(OR(L217="",L241=""),"",L217-L241)</f>
        <v/>
      </c>
      <c r="L268" s="336">
        <f>IF(OR(M217="",M241=""),"",M217-M241)</f>
        <v/>
      </c>
      <c r="M268" s="336">
        <f>IF(OR(N217="",N241=""),"",N217-N241)</f>
        <v/>
      </c>
      <c r="N268" s="337">
        <f>IF(A217=A241,"OK","ERROR")</f>
        <v/>
      </c>
    </row>
    <row r="269">
      <c r="A269" s="335">
        <f>A218</f>
        <v/>
      </c>
      <c r="B269" s="335">
        <f>IF(OR(C218="",C242=""),"",C218-C242)</f>
        <v/>
      </c>
      <c r="C269" s="336">
        <f>IF(OR(D218="",D242=""),"",D218-D242)</f>
        <v/>
      </c>
      <c r="D269" s="336">
        <f>IF(OR(E218="",E242=""),"",E218-E242)</f>
        <v/>
      </c>
      <c r="E269" s="336">
        <f>IF(OR(F218="",F242=""),"",F218-F242)</f>
        <v/>
      </c>
      <c r="F269" s="336">
        <f>IF(OR(G218="",G242=""),"",G218-G242)</f>
        <v/>
      </c>
      <c r="G269" s="336">
        <f>IF(OR(H218="",H242=""),"",H218-H242)</f>
        <v/>
      </c>
      <c r="H269" s="336">
        <f>IF(OR(I218="",I242=""),"",I218-I242)</f>
        <v/>
      </c>
      <c r="I269" s="336">
        <f>IF(OR(J218="",J242=""),"",J218-J242)</f>
        <v/>
      </c>
      <c r="J269" s="336">
        <f>IF(OR(K218="",K242=""),"",K218-K242)</f>
        <v/>
      </c>
      <c r="K269" s="336">
        <f>IF(OR(L218="",L242=""),"",L218-L242)</f>
        <v/>
      </c>
      <c r="L269" s="336">
        <f>IF(OR(M218="",M242=""),"",M218-M242)</f>
        <v/>
      </c>
      <c r="M269" s="336">
        <f>IF(OR(N218="",N242=""),"",N218-N242)</f>
        <v/>
      </c>
      <c r="N269" s="337">
        <f>IF(A218=A242,"OK","ERROR")</f>
        <v/>
      </c>
    </row>
    <row r="270">
      <c r="A270" s="335">
        <f>A219</f>
        <v/>
      </c>
      <c r="B270" s="335">
        <f>IF(OR(C219="",C243=""),"",C219-C243)</f>
        <v/>
      </c>
      <c r="C270" s="336">
        <f>IF(OR(D219="",D243=""),"",D219-D243)</f>
        <v/>
      </c>
      <c r="D270" s="336">
        <f>IF(OR(E219="",E243=""),"",E219-E243)</f>
        <v/>
      </c>
      <c r="E270" s="336">
        <f>IF(OR(F219="",F243=""),"",F219-F243)</f>
        <v/>
      </c>
      <c r="F270" s="336">
        <f>IF(OR(G219="",G243=""),"",G219-G243)</f>
        <v/>
      </c>
      <c r="G270" s="336">
        <f>IF(OR(H219="",H243=""),"",H219-H243)</f>
        <v/>
      </c>
      <c r="H270" s="336">
        <f>IF(OR(I219="",I243=""),"",I219-I243)</f>
        <v/>
      </c>
      <c r="I270" s="336">
        <f>IF(OR(J219="",J243=""),"",J219-J243)</f>
        <v/>
      </c>
      <c r="J270" s="336">
        <f>IF(OR(K219="",K243=""),"",K219-K243)</f>
        <v/>
      </c>
      <c r="K270" s="336">
        <f>IF(OR(L219="",L243=""),"",L219-L243)</f>
        <v/>
      </c>
      <c r="L270" s="336">
        <f>IF(OR(M219="",M243=""),"",M219-M243)</f>
        <v/>
      </c>
      <c r="M270" s="336">
        <f>IF(OR(N219="",N243=""),"",N219-N243)</f>
        <v/>
      </c>
      <c r="N270" s="337">
        <f>IF(A219=A243,"OK","ERROR")</f>
        <v/>
      </c>
    </row>
    <row r="271">
      <c r="A271" s="335">
        <f>A220</f>
        <v/>
      </c>
      <c r="B271" s="335">
        <f>IF(OR(C220="",C244=""),"",C220-C244)</f>
        <v/>
      </c>
      <c r="C271" s="336">
        <f>IF(OR(D220="",D244=""),"",D220-D244)</f>
        <v/>
      </c>
      <c r="D271" s="336">
        <f>IF(OR(E220="",E244=""),"",E220-E244)</f>
        <v/>
      </c>
      <c r="E271" s="336">
        <f>IF(OR(F220="",F244=""),"",F220-F244)</f>
        <v/>
      </c>
      <c r="F271" s="336">
        <f>IF(OR(G220="",G244=""),"",G220-G244)</f>
        <v/>
      </c>
      <c r="G271" s="336">
        <f>IF(OR(H220="",H244=""),"",H220-H244)</f>
        <v/>
      </c>
      <c r="H271" s="336">
        <f>IF(OR(I220="",I244=""),"",I220-I244)</f>
        <v/>
      </c>
      <c r="I271" s="336">
        <f>IF(OR(J220="",J244=""),"",J220-J244)</f>
        <v/>
      </c>
      <c r="J271" s="336">
        <f>IF(OR(K220="",K244=""),"",K220-K244)</f>
        <v/>
      </c>
      <c r="K271" s="336">
        <f>IF(OR(L220="",L244=""),"",L220-L244)</f>
        <v/>
      </c>
      <c r="L271" s="336">
        <f>IF(OR(M220="",M244=""),"",M220-M244)</f>
        <v/>
      </c>
      <c r="M271" s="336">
        <f>IF(OR(N220="",N244=""),"",N220-N244)</f>
        <v/>
      </c>
      <c r="N271" s="337">
        <f>IF(A220=A244,"OK","ERROR")</f>
        <v/>
      </c>
    </row>
    <row r="272">
      <c r="A272" s="335">
        <f>A221</f>
        <v/>
      </c>
      <c r="B272" s="335">
        <f>IF(OR(C221="",C245=""),"",C221-C245)</f>
        <v/>
      </c>
      <c r="C272" s="336">
        <f>IF(OR(D221="",D245=""),"",D221-D245)</f>
        <v/>
      </c>
      <c r="D272" s="336">
        <f>IF(OR(E221="",E245=""),"",E221-E245)</f>
        <v/>
      </c>
      <c r="E272" s="336">
        <f>IF(OR(F221="",F245=""),"",F221-F245)</f>
        <v/>
      </c>
      <c r="F272" s="336">
        <f>IF(OR(G221="",G245=""),"",G221-G245)</f>
        <v/>
      </c>
      <c r="G272" s="336">
        <f>IF(OR(H221="",H245=""),"",H221-H245)</f>
        <v/>
      </c>
      <c r="H272" s="336">
        <f>IF(OR(I221="",I245=""),"",I221-I245)</f>
        <v/>
      </c>
      <c r="I272" s="336">
        <f>IF(OR(J221="",J245=""),"",J221-J245)</f>
        <v/>
      </c>
      <c r="J272" s="336">
        <f>IF(OR(K221="",K245=""),"",K221-K245)</f>
        <v/>
      </c>
      <c r="K272" s="336">
        <f>IF(OR(L221="",L245=""),"",L221-L245)</f>
        <v/>
      </c>
      <c r="L272" s="336">
        <f>IF(OR(M221="",M245=""),"",M221-M245)</f>
        <v/>
      </c>
      <c r="M272" s="336">
        <f>IF(OR(N221="",N245=""),"",N221-N245)</f>
        <v/>
      </c>
      <c r="N272" s="337">
        <f>IF(A221=A245,"OK","ERROR")</f>
        <v/>
      </c>
    </row>
    <row r="273">
      <c r="A273" s="335">
        <f>A222</f>
        <v/>
      </c>
      <c r="B273" s="335">
        <f>IF(OR(C222="",C246=""),"",C222-C246)</f>
        <v/>
      </c>
      <c r="C273" s="336">
        <f>IF(OR(D222="",D246=""),"",D222-D246)</f>
        <v/>
      </c>
      <c r="D273" s="336">
        <f>IF(OR(E222="",E246=""),"",E222-E246)</f>
        <v/>
      </c>
      <c r="E273" s="336">
        <f>IF(OR(F222="",F246=""),"",F222-F246)</f>
        <v/>
      </c>
      <c r="F273" s="336">
        <f>IF(OR(G222="",G246=""),"",G222-G246)</f>
        <v/>
      </c>
      <c r="G273" s="336">
        <f>IF(OR(H222="",H246=""),"",H222-H246)</f>
        <v/>
      </c>
      <c r="H273" s="336">
        <f>IF(OR(I222="",I246=""),"",I222-I246)</f>
        <v/>
      </c>
      <c r="I273" s="336">
        <f>IF(OR(J222="",J246=""),"",J222-J246)</f>
        <v/>
      </c>
      <c r="J273" s="336">
        <f>IF(OR(K222="",K246=""),"",K222-K246)</f>
        <v/>
      </c>
      <c r="K273" s="336">
        <f>IF(OR(L222="",L246=""),"",L222-L246)</f>
        <v/>
      </c>
      <c r="L273" s="336">
        <f>IF(OR(M222="",M246=""),"",M222-M246)</f>
        <v/>
      </c>
      <c r="M273" s="336">
        <f>IF(OR(N222="",N246=""),"",N222-N246)</f>
        <v/>
      </c>
      <c r="N273" s="337">
        <f>IF(A222=A246,"OK","ERROR")</f>
        <v/>
      </c>
    </row>
    <row r="274">
      <c r="A274" s="335">
        <f>A223</f>
        <v/>
      </c>
      <c r="B274" s="335">
        <f>IF(OR(C223="",C247=""),"",C223-C247)</f>
        <v/>
      </c>
      <c r="C274" s="336">
        <f>IF(OR(D223="",D247=""),"",D223-D247)</f>
        <v/>
      </c>
      <c r="D274" s="336">
        <f>IF(OR(E223="",E247=""),"",E223-E247)</f>
        <v/>
      </c>
      <c r="E274" s="336">
        <f>IF(OR(F223="",F247=""),"",F223-F247)</f>
        <v/>
      </c>
      <c r="F274" s="336">
        <f>IF(OR(G223="",G247=""),"",G223-G247)</f>
        <v/>
      </c>
      <c r="G274" s="336">
        <f>IF(OR(H223="",H247=""),"",H223-H247)</f>
        <v/>
      </c>
      <c r="H274" s="336">
        <f>IF(OR(I223="",I247=""),"",I223-I247)</f>
        <v/>
      </c>
      <c r="I274" s="336">
        <f>IF(OR(J223="",J247=""),"",J223-J247)</f>
        <v/>
      </c>
      <c r="J274" s="336">
        <f>IF(OR(K223="",K247=""),"",K223-K247)</f>
        <v/>
      </c>
      <c r="K274" s="336">
        <f>IF(OR(L223="",L247=""),"",L223-L247)</f>
        <v/>
      </c>
      <c r="L274" s="336">
        <f>IF(OR(M223="",M247=""),"",M223-M247)</f>
        <v/>
      </c>
      <c r="M274" s="336">
        <f>IF(OR(N223="",N247=""),"",N223-N247)</f>
        <v/>
      </c>
      <c r="N274" s="337">
        <f>IF(A223=A247,"OK","ERROR")</f>
        <v/>
      </c>
    </row>
    <row r="275">
      <c r="A275" s="335">
        <f>A224</f>
        <v/>
      </c>
      <c r="B275" s="335">
        <f>IF(OR(C224="",C248=""),"",C224-C248)</f>
        <v/>
      </c>
      <c r="C275" s="336">
        <f>IF(OR(D224="",D248=""),"",D224-D248)</f>
        <v/>
      </c>
      <c r="D275" s="336">
        <f>IF(OR(E224="",E248=""),"",E224-E248)</f>
        <v/>
      </c>
      <c r="E275" s="336">
        <f>IF(OR(F224="",F248=""),"",F224-F248)</f>
        <v/>
      </c>
      <c r="F275" s="336">
        <f>IF(OR(G224="",G248=""),"",G224-G248)</f>
        <v/>
      </c>
      <c r="G275" s="336">
        <f>IF(OR(H224="",H248=""),"",H224-H248)</f>
        <v/>
      </c>
      <c r="H275" s="336">
        <f>IF(OR(I224="",I248=""),"",I224-I248)</f>
        <v/>
      </c>
      <c r="I275" s="336">
        <f>IF(OR(J224="",J248=""),"",J224-J248)</f>
        <v/>
      </c>
      <c r="J275" s="336">
        <f>IF(OR(K224="",K248=""),"",K224-K248)</f>
        <v/>
      </c>
      <c r="K275" s="336">
        <f>IF(OR(L224="",L248=""),"",L224-L248)</f>
        <v/>
      </c>
      <c r="L275" s="336">
        <f>IF(OR(M224="",M248=""),"",M224-M248)</f>
        <v/>
      </c>
      <c r="M275" s="336">
        <f>IF(OR(N224="",N248=""),"",N224-N248)</f>
        <v/>
      </c>
      <c r="N275" s="337">
        <f>IF(A224=A248,"OK","ERROR")</f>
        <v/>
      </c>
    </row>
    <row r="276">
      <c r="A276" s="335">
        <f>A225</f>
        <v/>
      </c>
      <c r="B276" s="335">
        <f>IF(OR(C225="",C249=""),"",C225-C249)</f>
        <v/>
      </c>
      <c r="C276" s="336">
        <f>IF(OR(D225="",D249=""),"",D225-D249)</f>
        <v/>
      </c>
      <c r="D276" s="336">
        <f>IF(OR(E225="",E249=""),"",E225-E249)</f>
        <v/>
      </c>
      <c r="E276" s="336">
        <f>IF(OR(F225="",F249=""),"",F225-F249)</f>
        <v/>
      </c>
      <c r="F276" s="336">
        <f>IF(OR(G225="",G249=""),"",G225-G249)</f>
        <v/>
      </c>
      <c r="G276" s="336">
        <f>IF(OR(H225="",H249=""),"",H225-H249)</f>
        <v/>
      </c>
      <c r="H276" s="336">
        <f>IF(OR(I225="",I249=""),"",I225-I249)</f>
        <v/>
      </c>
      <c r="I276" s="336">
        <f>IF(OR(J225="",J249=""),"",J225-J249)</f>
        <v/>
      </c>
      <c r="J276" s="336">
        <f>IF(OR(K225="",K249=""),"",K225-K249)</f>
        <v/>
      </c>
      <c r="K276" s="336">
        <f>IF(OR(L225="",L249=""),"",L225-L249)</f>
        <v/>
      </c>
      <c r="L276" s="336">
        <f>IF(OR(M225="",M249=""),"",M225-M249)</f>
        <v/>
      </c>
      <c r="M276" s="336">
        <f>IF(OR(N225="",N249=""),"",N225-N249)</f>
        <v/>
      </c>
      <c r="N276" s="337">
        <f>IF(A225=A249,"OK","ERROR")</f>
        <v/>
      </c>
    </row>
    <row r="277">
      <c r="A277" s="335">
        <f>A226</f>
        <v/>
      </c>
      <c r="B277" s="335">
        <f>IF(OR(C226="",C250=""),"",C226-C250)</f>
        <v/>
      </c>
      <c r="C277" s="336">
        <f>IF(OR(D226="",D250=""),"",D226-D250)</f>
        <v/>
      </c>
      <c r="D277" s="336">
        <f>IF(OR(E226="",E250=""),"",E226-E250)</f>
        <v/>
      </c>
      <c r="E277" s="336">
        <f>IF(OR(F226="",F250=""),"",F226-F250)</f>
        <v/>
      </c>
      <c r="F277" s="336">
        <f>IF(OR(G226="",G250=""),"",G226-G250)</f>
        <v/>
      </c>
      <c r="G277" s="336">
        <f>IF(OR(H226="",H250=""),"",H226-H250)</f>
        <v/>
      </c>
      <c r="H277" s="336">
        <f>IF(OR(I226="",I250=""),"",I226-I250)</f>
        <v/>
      </c>
      <c r="I277" s="336">
        <f>IF(OR(J226="",J250=""),"",J226-J250)</f>
        <v/>
      </c>
      <c r="J277" s="336">
        <f>IF(OR(K226="",K250=""),"",K226-K250)</f>
        <v/>
      </c>
      <c r="K277" s="336">
        <f>IF(OR(L226="",L250=""),"",L226-L250)</f>
        <v/>
      </c>
      <c r="L277" s="336">
        <f>IF(OR(M226="",M250=""),"",M226-M250)</f>
        <v/>
      </c>
      <c r="M277" s="336">
        <f>IF(OR(N226="",N250=""),"",N226-N250)</f>
        <v/>
      </c>
      <c r="N277" s="337">
        <f>IF(A226=A250,"OK","ERROR")</f>
        <v/>
      </c>
    </row>
    <row r="278"/>
    <row r="279" ht="23" customHeight="1">
      <c r="A279" s="333" t="inlineStr">
        <is>
          <t>D5. 最终问卷派生：按 Participants 的纳入状态过滤</t>
        </is>
      </c>
      <c r="B279" s="3" t="n"/>
      <c r="C279" s="3" t="n"/>
      <c r="D279" s="3" t="n"/>
      <c r="E279" s="3" t="n"/>
    </row>
    <row r="280" ht="30" customHeight="1">
      <c r="A280" s="334" t="inlineStr">
        <is>
          <t>Participant_ID</t>
        </is>
      </c>
      <c r="B280" s="334" t="inlineStr">
        <is>
          <t>Included</t>
        </is>
      </c>
      <c r="C280" s="334" t="inlineStr">
        <is>
          <t>Preference_Strength</t>
        </is>
      </c>
      <c r="D280" s="334" t="inlineStr">
        <is>
          <t>Discrimination_Confidence</t>
        </is>
      </c>
      <c r="E280" s="334" t="inlineStr">
        <is>
          <t>Final_Complete</t>
        </is>
      </c>
    </row>
    <row r="281">
      <c r="A281" s="335">
        <f>Participants!A3</f>
        <v/>
      </c>
      <c r="B281" s="337">
        <f>IF(Participants!V3="","",Participants!V3)</f>
        <v/>
      </c>
      <c r="C281" s="336">
        <f>IF(AND(B281="是",ISNUMBER(Records!C203)),Records!C203,"")</f>
        <v/>
      </c>
      <c r="D281" s="336">
        <f>IF(AND(B281="是",ISNUMBER(Records!E203)),Records!E203,"")</f>
        <v/>
      </c>
      <c r="E281" s="337">
        <f>IF(B281&lt;&gt;"是","",IF(AND(Records!B203&lt;&gt;"",Records!D203&lt;&gt;"",ISNUMBER(Records!E203),Records!F203&lt;&gt;"",Records!G203&lt;&gt;"",Records!H203&lt;&gt;"",OR(AND(Records!B203="无明显偏好",OR(Records!C203="",Records!C203="N/A")),AND(Records!B203&lt;&gt;"无明显偏好",ISNUMBER(Records!C203),Records!C203&gt;=1,Records!C203&lt;=7))),"是","否"))</f>
        <v/>
      </c>
    </row>
    <row r="282">
      <c r="A282" s="335">
        <f>Participants!A4</f>
        <v/>
      </c>
      <c r="B282" s="337">
        <f>IF(Participants!V4="","",Participants!V4)</f>
        <v/>
      </c>
      <c r="C282" s="336">
        <f>IF(AND(B282="是",ISNUMBER(Records!C204)),Records!C204,"")</f>
        <v/>
      </c>
      <c r="D282" s="336">
        <f>IF(AND(B282="是",ISNUMBER(Records!E204)),Records!E204,"")</f>
        <v/>
      </c>
      <c r="E282" s="337">
        <f>IF(B282&lt;&gt;"是","",IF(AND(Records!B204&lt;&gt;"",Records!D204&lt;&gt;"",ISNUMBER(Records!E204),Records!F204&lt;&gt;"",Records!G204&lt;&gt;"",Records!H204&lt;&gt;"",OR(AND(Records!B204="无明显偏好",OR(Records!C204="",Records!C204="N/A")),AND(Records!B204&lt;&gt;"无明显偏好",ISNUMBER(Records!C204),Records!C204&gt;=1,Records!C204&lt;=7))),"是","否"))</f>
        <v/>
      </c>
    </row>
    <row r="283">
      <c r="A283" s="335">
        <f>Participants!A5</f>
        <v/>
      </c>
      <c r="B283" s="337">
        <f>IF(Participants!V5="","",Participants!V5)</f>
        <v/>
      </c>
      <c r="C283" s="336">
        <f>IF(AND(B283="是",ISNUMBER(Records!C205)),Records!C205,"")</f>
        <v/>
      </c>
      <c r="D283" s="336">
        <f>IF(AND(B283="是",ISNUMBER(Records!E205)),Records!E205,"")</f>
        <v/>
      </c>
      <c r="E283" s="337">
        <f>IF(B283&lt;&gt;"是","",IF(AND(Records!B205&lt;&gt;"",Records!D205&lt;&gt;"",ISNUMBER(Records!E205),Records!F205&lt;&gt;"",Records!G205&lt;&gt;"",Records!H205&lt;&gt;"",OR(AND(Records!B205="无明显偏好",OR(Records!C205="",Records!C205="N/A")),AND(Records!B205&lt;&gt;"无明显偏好",ISNUMBER(Records!C205),Records!C205&gt;=1,Records!C205&lt;=7))),"是","否"))</f>
        <v/>
      </c>
    </row>
    <row r="284">
      <c r="A284" s="335">
        <f>Participants!A6</f>
        <v/>
      </c>
      <c r="B284" s="337">
        <f>IF(Participants!V6="","",Participants!V6)</f>
        <v/>
      </c>
      <c r="C284" s="336">
        <f>IF(AND(B284="是",ISNUMBER(Records!C206)),Records!C206,"")</f>
        <v/>
      </c>
      <c r="D284" s="336">
        <f>IF(AND(B284="是",ISNUMBER(Records!E206)),Records!E206,"")</f>
        <v/>
      </c>
      <c r="E284" s="337">
        <f>IF(B284&lt;&gt;"是","",IF(AND(Records!B206&lt;&gt;"",Records!D206&lt;&gt;"",ISNUMBER(Records!E206),Records!F206&lt;&gt;"",Records!G206&lt;&gt;"",Records!H206&lt;&gt;"",OR(AND(Records!B206="无明显偏好",OR(Records!C206="",Records!C206="N/A")),AND(Records!B206&lt;&gt;"无明显偏好",ISNUMBER(Records!C206),Records!C206&gt;=1,Records!C206&lt;=7))),"是","否"))</f>
        <v/>
      </c>
    </row>
    <row r="285">
      <c r="A285" s="335">
        <f>Participants!A7</f>
        <v/>
      </c>
      <c r="B285" s="337">
        <f>IF(Participants!V7="","",Participants!V7)</f>
        <v/>
      </c>
      <c r="C285" s="336">
        <f>IF(AND(B285="是",ISNUMBER(Records!C207)),Records!C207,"")</f>
        <v/>
      </c>
      <c r="D285" s="336">
        <f>IF(AND(B285="是",ISNUMBER(Records!E207)),Records!E207,"")</f>
        <v/>
      </c>
      <c r="E285" s="337">
        <f>IF(B285&lt;&gt;"是","",IF(AND(Records!B207&lt;&gt;"",Records!D207&lt;&gt;"",ISNUMBER(Records!E207),Records!F207&lt;&gt;"",Records!G207&lt;&gt;"",Records!H207&lt;&gt;"",OR(AND(Records!B207="无明显偏好",OR(Records!C207="",Records!C207="N/A")),AND(Records!B207&lt;&gt;"无明显偏好",ISNUMBER(Records!C207),Records!C207&gt;=1,Records!C207&lt;=7))),"是","否"))</f>
        <v/>
      </c>
    </row>
    <row r="286">
      <c r="A286" s="335">
        <f>Participants!A8</f>
        <v/>
      </c>
      <c r="B286" s="337">
        <f>IF(Participants!V8="","",Participants!V8)</f>
        <v/>
      </c>
      <c r="C286" s="336">
        <f>IF(AND(B286="是",ISNUMBER(Records!C208)),Records!C208,"")</f>
        <v/>
      </c>
      <c r="D286" s="336">
        <f>IF(AND(B286="是",ISNUMBER(Records!E208)),Records!E208,"")</f>
        <v/>
      </c>
      <c r="E286" s="337">
        <f>IF(B286&lt;&gt;"是","",IF(AND(Records!B208&lt;&gt;"",Records!D208&lt;&gt;"",ISNUMBER(Records!E208),Records!F208&lt;&gt;"",Records!G208&lt;&gt;"",Records!H208&lt;&gt;"",OR(AND(Records!B208="无明显偏好",OR(Records!C208="",Records!C208="N/A")),AND(Records!B208&lt;&gt;"无明显偏好",ISNUMBER(Records!C208),Records!C208&gt;=1,Records!C208&lt;=7))),"是","否"))</f>
        <v/>
      </c>
    </row>
    <row r="287">
      <c r="A287" s="335">
        <f>Participants!A9</f>
        <v/>
      </c>
      <c r="B287" s="337">
        <f>IF(Participants!V9="","",Participants!V9)</f>
        <v/>
      </c>
      <c r="C287" s="336">
        <f>IF(AND(B287="是",ISNUMBER(Records!C209)),Records!C209,"")</f>
        <v/>
      </c>
      <c r="D287" s="336">
        <f>IF(AND(B287="是",ISNUMBER(Records!E209)),Records!E209,"")</f>
        <v/>
      </c>
      <c r="E287" s="337">
        <f>IF(B287&lt;&gt;"是","",IF(AND(Records!B209&lt;&gt;"",Records!D209&lt;&gt;"",ISNUMBER(Records!E209),Records!F209&lt;&gt;"",Records!G209&lt;&gt;"",Records!H209&lt;&gt;"",OR(AND(Records!B209="无明显偏好",OR(Records!C209="",Records!C209="N/A")),AND(Records!B209&lt;&gt;"无明显偏好",ISNUMBER(Records!C209),Records!C209&gt;=1,Records!C209&lt;=7))),"是","否"))</f>
        <v/>
      </c>
    </row>
    <row r="288">
      <c r="A288" s="335">
        <f>Participants!A10</f>
        <v/>
      </c>
      <c r="B288" s="337">
        <f>IF(Participants!V10="","",Participants!V10)</f>
        <v/>
      </c>
      <c r="C288" s="336">
        <f>IF(AND(B288="是",ISNUMBER(Records!C210)),Records!C210,"")</f>
        <v/>
      </c>
      <c r="D288" s="336">
        <f>IF(AND(B288="是",ISNUMBER(Records!E210)),Records!E210,"")</f>
        <v/>
      </c>
      <c r="E288" s="337">
        <f>IF(B288&lt;&gt;"是","",IF(AND(Records!B210&lt;&gt;"",Records!D210&lt;&gt;"",ISNUMBER(Records!E210),Records!F210&lt;&gt;"",Records!G210&lt;&gt;"",Records!H210&lt;&gt;"",OR(AND(Records!B210="无明显偏好",OR(Records!C210="",Records!C210="N/A")),AND(Records!B210&lt;&gt;"无明显偏好",ISNUMBER(Records!C210),Records!C210&gt;=1,Records!C210&lt;=7))),"是","否"))</f>
        <v/>
      </c>
    </row>
    <row r="289">
      <c r="A289" s="335">
        <f>Participants!A11</f>
        <v/>
      </c>
      <c r="B289" s="337">
        <f>IF(Participants!V11="","",Participants!V11)</f>
        <v/>
      </c>
      <c r="C289" s="336">
        <f>IF(AND(B289="是",ISNUMBER(Records!C211)),Records!C211,"")</f>
        <v/>
      </c>
      <c r="D289" s="336">
        <f>IF(AND(B289="是",ISNUMBER(Records!E211)),Records!E211,"")</f>
        <v/>
      </c>
      <c r="E289" s="337">
        <f>IF(B289&lt;&gt;"是","",IF(AND(Records!B211&lt;&gt;"",Records!D211&lt;&gt;"",ISNUMBER(Records!E211),Records!F211&lt;&gt;"",Records!G211&lt;&gt;"",Records!H211&lt;&gt;"",OR(AND(Records!B211="无明显偏好",OR(Records!C211="",Records!C211="N/A")),AND(Records!B211&lt;&gt;"无明显偏好",ISNUMBER(Records!C211),Records!C211&gt;=1,Records!C211&lt;=7))),"是","否"))</f>
        <v/>
      </c>
    </row>
    <row r="290">
      <c r="A290" s="335">
        <f>Participants!A12</f>
        <v/>
      </c>
      <c r="B290" s="337">
        <f>IF(Participants!V12="","",Participants!V12)</f>
        <v/>
      </c>
      <c r="C290" s="336">
        <f>IF(AND(B290="是",ISNUMBER(Records!C212)),Records!C212,"")</f>
        <v/>
      </c>
      <c r="D290" s="336">
        <f>IF(AND(B290="是",ISNUMBER(Records!E212)),Records!E212,"")</f>
        <v/>
      </c>
      <c r="E290" s="337">
        <f>IF(B290&lt;&gt;"是","",IF(AND(Records!B212&lt;&gt;"",Records!D212&lt;&gt;"",ISNUMBER(Records!E212),Records!F212&lt;&gt;"",Records!G212&lt;&gt;"",Records!H212&lt;&gt;"",OR(AND(Records!B212="无明显偏好",OR(Records!C212="",Records!C212="N/A")),AND(Records!B212&lt;&gt;"无明显偏好",ISNUMBER(Records!C212),Records!C212&gt;=1,Records!C212&lt;=7))),"是","否"))</f>
        <v/>
      </c>
    </row>
    <row r="291">
      <c r="A291" s="335">
        <f>Participants!A13</f>
        <v/>
      </c>
      <c r="B291" s="337">
        <f>IF(Participants!V13="","",Participants!V13)</f>
        <v/>
      </c>
      <c r="C291" s="336">
        <f>IF(AND(B291="是",ISNUMBER(Records!C213)),Records!C213,"")</f>
        <v/>
      </c>
      <c r="D291" s="336">
        <f>IF(AND(B291="是",ISNUMBER(Records!E213)),Records!E213,"")</f>
        <v/>
      </c>
      <c r="E291" s="337">
        <f>IF(B291&lt;&gt;"是","",IF(AND(Records!B213&lt;&gt;"",Records!D213&lt;&gt;"",ISNUMBER(Records!E213),Records!F213&lt;&gt;"",Records!G213&lt;&gt;"",Records!H213&lt;&gt;"",OR(AND(Records!B213="无明显偏好",OR(Records!C213="",Records!C213="N/A")),AND(Records!B213&lt;&gt;"无明显偏好",ISNUMBER(Records!C213),Records!C213&gt;=1,Records!C213&lt;=7))),"是","否"))</f>
        <v/>
      </c>
    </row>
    <row r="292">
      <c r="A292" s="335">
        <f>Participants!A14</f>
        <v/>
      </c>
      <c r="B292" s="337">
        <f>IF(Participants!V14="","",Participants!V14)</f>
        <v/>
      </c>
      <c r="C292" s="336">
        <f>IF(AND(B292="是",ISNUMBER(Records!C214)),Records!C214,"")</f>
        <v/>
      </c>
      <c r="D292" s="336">
        <f>IF(AND(B292="是",ISNUMBER(Records!E214)),Records!E214,"")</f>
        <v/>
      </c>
      <c r="E292" s="337">
        <f>IF(B292&lt;&gt;"是","",IF(AND(Records!B214&lt;&gt;"",Records!D214&lt;&gt;"",ISNUMBER(Records!E214),Records!F214&lt;&gt;"",Records!G214&lt;&gt;"",Records!H214&lt;&gt;"",OR(AND(Records!B214="无明显偏好",OR(Records!C214="",Records!C214="N/A")),AND(Records!B214&lt;&gt;"无明显偏好",ISNUMBER(Records!C214),Records!C214&gt;=1,Records!C214&lt;=7))),"是","否"))</f>
        <v/>
      </c>
    </row>
    <row r="293">
      <c r="A293" s="335">
        <f>Participants!A15</f>
        <v/>
      </c>
      <c r="B293" s="337">
        <f>IF(Participants!V15="","",Participants!V15)</f>
        <v/>
      </c>
      <c r="C293" s="336">
        <f>IF(AND(B293="是",ISNUMBER(Records!C215)),Records!C215,"")</f>
        <v/>
      </c>
      <c r="D293" s="336">
        <f>IF(AND(B293="是",ISNUMBER(Records!E215)),Records!E215,"")</f>
        <v/>
      </c>
      <c r="E293" s="337">
        <f>IF(B293&lt;&gt;"是","",IF(AND(Records!B215&lt;&gt;"",Records!D215&lt;&gt;"",ISNUMBER(Records!E215),Records!F215&lt;&gt;"",Records!G215&lt;&gt;"",Records!H215&lt;&gt;"",OR(AND(Records!B215="无明显偏好",OR(Records!C215="",Records!C215="N/A")),AND(Records!B215&lt;&gt;"无明显偏好",ISNUMBER(Records!C215),Records!C215&gt;=1,Records!C215&lt;=7))),"是","否"))</f>
        <v/>
      </c>
    </row>
    <row r="294">
      <c r="A294" s="335">
        <f>Participants!A16</f>
        <v/>
      </c>
      <c r="B294" s="337">
        <f>IF(Participants!V16="","",Participants!V16)</f>
        <v/>
      </c>
      <c r="C294" s="336">
        <f>IF(AND(B294="是",ISNUMBER(Records!C216)),Records!C216,"")</f>
        <v/>
      </c>
      <c r="D294" s="336">
        <f>IF(AND(B294="是",ISNUMBER(Records!E216)),Records!E216,"")</f>
        <v/>
      </c>
      <c r="E294" s="337">
        <f>IF(B294&lt;&gt;"是","",IF(AND(Records!B216&lt;&gt;"",Records!D216&lt;&gt;"",ISNUMBER(Records!E216),Records!F216&lt;&gt;"",Records!G216&lt;&gt;"",Records!H216&lt;&gt;"",OR(AND(Records!B216="无明显偏好",OR(Records!C216="",Records!C216="N/A")),AND(Records!B216&lt;&gt;"无明显偏好",ISNUMBER(Records!C216),Records!C216&gt;=1,Records!C216&lt;=7))),"是","否"))</f>
        <v/>
      </c>
    </row>
    <row r="295">
      <c r="A295" s="335">
        <f>Participants!A17</f>
        <v/>
      </c>
      <c r="B295" s="337">
        <f>IF(Participants!V17="","",Participants!V17)</f>
        <v/>
      </c>
      <c r="C295" s="336">
        <f>IF(AND(B295="是",ISNUMBER(Records!C217)),Records!C217,"")</f>
        <v/>
      </c>
      <c r="D295" s="336">
        <f>IF(AND(B295="是",ISNUMBER(Records!E217)),Records!E217,"")</f>
        <v/>
      </c>
      <c r="E295" s="337">
        <f>IF(B295&lt;&gt;"是","",IF(AND(Records!B217&lt;&gt;"",Records!D217&lt;&gt;"",ISNUMBER(Records!E217),Records!F217&lt;&gt;"",Records!G217&lt;&gt;"",Records!H217&lt;&gt;"",OR(AND(Records!B217="无明显偏好",OR(Records!C217="",Records!C217="N/A")),AND(Records!B217&lt;&gt;"无明显偏好",ISNUMBER(Records!C217),Records!C217&gt;=1,Records!C217&lt;=7))),"是","否"))</f>
        <v/>
      </c>
    </row>
    <row r="296">
      <c r="A296" s="335">
        <f>Participants!A18</f>
        <v/>
      </c>
      <c r="B296" s="337">
        <f>IF(Participants!V18="","",Participants!V18)</f>
        <v/>
      </c>
      <c r="C296" s="336">
        <f>IF(AND(B296="是",ISNUMBER(Records!C218)),Records!C218,"")</f>
        <v/>
      </c>
      <c r="D296" s="336">
        <f>IF(AND(B296="是",ISNUMBER(Records!E218)),Records!E218,"")</f>
        <v/>
      </c>
      <c r="E296" s="337">
        <f>IF(B296&lt;&gt;"是","",IF(AND(Records!B218&lt;&gt;"",Records!D218&lt;&gt;"",ISNUMBER(Records!E218),Records!F218&lt;&gt;"",Records!G218&lt;&gt;"",Records!H218&lt;&gt;"",OR(AND(Records!B218="无明显偏好",OR(Records!C218="",Records!C218="N/A")),AND(Records!B218&lt;&gt;"无明显偏好",ISNUMBER(Records!C218),Records!C218&gt;=1,Records!C218&lt;=7))),"是","否"))</f>
        <v/>
      </c>
    </row>
    <row r="297">
      <c r="A297" s="335">
        <f>Participants!A19</f>
        <v/>
      </c>
      <c r="B297" s="337">
        <f>IF(Participants!V19="","",Participants!V19)</f>
        <v/>
      </c>
      <c r="C297" s="336">
        <f>IF(AND(B297="是",ISNUMBER(Records!C219)),Records!C219,"")</f>
        <v/>
      </c>
      <c r="D297" s="336">
        <f>IF(AND(B297="是",ISNUMBER(Records!E219)),Records!E219,"")</f>
        <v/>
      </c>
      <c r="E297" s="337">
        <f>IF(B297&lt;&gt;"是","",IF(AND(Records!B219&lt;&gt;"",Records!D219&lt;&gt;"",ISNUMBER(Records!E219),Records!F219&lt;&gt;"",Records!G219&lt;&gt;"",Records!H219&lt;&gt;"",OR(AND(Records!B219="无明显偏好",OR(Records!C219="",Records!C219="N/A")),AND(Records!B219&lt;&gt;"无明显偏好",ISNUMBER(Records!C219),Records!C219&gt;=1,Records!C219&lt;=7))),"是","否"))</f>
        <v/>
      </c>
    </row>
    <row r="298">
      <c r="A298" s="335">
        <f>Participants!A20</f>
        <v/>
      </c>
      <c r="B298" s="337">
        <f>IF(Participants!V20="","",Participants!V20)</f>
        <v/>
      </c>
      <c r="C298" s="336">
        <f>IF(AND(B298="是",ISNUMBER(Records!C220)),Records!C220,"")</f>
        <v/>
      </c>
      <c r="D298" s="336">
        <f>IF(AND(B298="是",ISNUMBER(Records!E220)),Records!E220,"")</f>
        <v/>
      </c>
      <c r="E298" s="337">
        <f>IF(B298&lt;&gt;"是","",IF(AND(Records!B220&lt;&gt;"",Records!D220&lt;&gt;"",ISNUMBER(Records!E220),Records!F220&lt;&gt;"",Records!G220&lt;&gt;"",Records!H220&lt;&gt;"",OR(AND(Records!B220="无明显偏好",OR(Records!C220="",Records!C220="N/A")),AND(Records!B220&lt;&gt;"无明显偏好",ISNUMBER(Records!C220),Records!C220&gt;=1,Records!C220&lt;=7))),"是","否"))</f>
        <v/>
      </c>
    </row>
    <row r="299">
      <c r="A299" s="335">
        <f>Participants!A21</f>
        <v/>
      </c>
      <c r="B299" s="337">
        <f>IF(Participants!V21="","",Participants!V21)</f>
        <v/>
      </c>
      <c r="C299" s="336">
        <f>IF(AND(B299="是",ISNUMBER(Records!C221)),Records!C221,"")</f>
        <v/>
      </c>
      <c r="D299" s="336">
        <f>IF(AND(B299="是",ISNUMBER(Records!E221)),Records!E221,"")</f>
        <v/>
      </c>
      <c r="E299" s="337">
        <f>IF(B299&lt;&gt;"是","",IF(AND(Records!B221&lt;&gt;"",Records!D221&lt;&gt;"",ISNUMBER(Records!E221),Records!F221&lt;&gt;"",Records!G221&lt;&gt;"",Records!H221&lt;&gt;"",OR(AND(Records!B221="无明显偏好",OR(Records!C221="",Records!C221="N/A")),AND(Records!B221&lt;&gt;"无明显偏好",ISNUMBER(Records!C221),Records!C221&gt;=1,Records!C221&lt;=7))),"是","否"))</f>
        <v/>
      </c>
    </row>
    <row r="300">
      <c r="A300" s="335">
        <f>Participants!A22</f>
        <v/>
      </c>
      <c r="B300" s="337">
        <f>IF(Participants!V22="","",Participants!V22)</f>
        <v/>
      </c>
      <c r="C300" s="336">
        <f>IF(AND(B300="是",ISNUMBER(Records!C222)),Records!C222,"")</f>
        <v/>
      </c>
      <c r="D300" s="336">
        <f>IF(AND(B300="是",ISNUMBER(Records!E222)),Records!E222,"")</f>
        <v/>
      </c>
      <c r="E300" s="337">
        <f>IF(B300&lt;&gt;"是","",IF(AND(Records!B222&lt;&gt;"",Records!D222&lt;&gt;"",ISNUMBER(Records!E222),Records!F222&lt;&gt;"",Records!G222&lt;&gt;"",Records!H222&lt;&gt;"",OR(AND(Records!B222="无明显偏好",OR(Records!C222="",Records!C222="N/A")),AND(Records!B222&lt;&gt;"无明显偏好",ISNUMBER(Records!C222),Records!C222&gt;=1,Records!C222&lt;=7))),"是","否"))</f>
        <v/>
      </c>
    </row>
    <row r="301">
      <c r="A301" s="335">
        <f>Participants!A23</f>
        <v/>
      </c>
      <c r="B301" s="337">
        <f>IF(Participants!V23="","",Participants!V23)</f>
        <v/>
      </c>
      <c r="C301" s="336">
        <f>IF(AND(B301="是",ISNUMBER(Records!C223)),Records!C223,"")</f>
        <v/>
      </c>
      <c r="D301" s="336">
        <f>IF(AND(B301="是",ISNUMBER(Records!E223)),Records!E223,"")</f>
        <v/>
      </c>
      <c r="E301" s="337">
        <f>IF(B301&lt;&gt;"是","",IF(AND(Records!B223&lt;&gt;"",Records!D223&lt;&gt;"",ISNUMBER(Records!E223),Records!F223&lt;&gt;"",Records!G223&lt;&gt;"",Records!H223&lt;&gt;"",OR(AND(Records!B223="无明显偏好",OR(Records!C223="",Records!C223="N/A")),AND(Records!B223&lt;&gt;"无明显偏好",ISNUMBER(Records!C223),Records!C223&gt;=1,Records!C223&lt;=7))),"是","否"))</f>
        <v/>
      </c>
    </row>
    <row r="302">
      <c r="A302" s="335">
        <f>Participants!A24</f>
        <v/>
      </c>
      <c r="B302" s="337">
        <f>IF(Participants!V24="","",Participants!V24)</f>
        <v/>
      </c>
      <c r="C302" s="336">
        <f>IF(AND(B302="是",ISNUMBER(Records!C224)),Records!C224,"")</f>
        <v/>
      </c>
      <c r="D302" s="336">
        <f>IF(AND(B302="是",ISNUMBER(Records!E224)),Records!E224,"")</f>
        <v/>
      </c>
      <c r="E302" s="337">
        <f>IF(B302&lt;&gt;"是","",IF(AND(Records!B224&lt;&gt;"",Records!D224&lt;&gt;"",ISNUMBER(Records!E224),Records!F224&lt;&gt;"",Records!G224&lt;&gt;"",Records!H224&lt;&gt;"",OR(AND(Records!B224="无明显偏好",OR(Records!C224="",Records!C224="N/A")),AND(Records!B224&lt;&gt;"无明显偏好",ISNUMBER(Records!C224),Records!C224&gt;=1,Records!C224&lt;=7))),"是","否"))</f>
        <v/>
      </c>
    </row>
    <row r="303">
      <c r="A303" s="335">
        <f>Participants!A25</f>
        <v/>
      </c>
      <c r="B303" s="337">
        <f>IF(Participants!V25="","",Participants!V25)</f>
        <v/>
      </c>
      <c r="C303" s="336">
        <f>IF(AND(B303="是",ISNUMBER(Records!C225)),Records!C225,"")</f>
        <v/>
      </c>
      <c r="D303" s="336">
        <f>IF(AND(B303="是",ISNUMBER(Records!E225)),Records!E225,"")</f>
        <v/>
      </c>
      <c r="E303" s="337">
        <f>IF(B303&lt;&gt;"是","",IF(AND(Records!B225&lt;&gt;"",Records!D225&lt;&gt;"",ISNUMBER(Records!E225),Records!F225&lt;&gt;"",Records!G225&lt;&gt;"",Records!H225&lt;&gt;"",OR(AND(Records!B225="无明显偏好",OR(Records!C225="",Records!C225="N/A")),AND(Records!B225&lt;&gt;"无明显偏好",ISNUMBER(Records!C225),Records!C225&gt;=1,Records!C225&lt;=7))),"是","否"))</f>
        <v/>
      </c>
    </row>
    <row r="304">
      <c r="A304" s="335">
        <f>Participants!A26</f>
        <v/>
      </c>
      <c r="B304" s="337">
        <f>IF(Participants!V26="","",Participants!V26)</f>
        <v/>
      </c>
      <c r="C304" s="336">
        <f>IF(AND(B304="是",ISNUMBER(Records!C226)),Records!C226,"")</f>
        <v/>
      </c>
      <c r="D304" s="336">
        <f>IF(AND(B304="是",ISNUMBER(Records!E226)),Records!E226,"")</f>
        <v/>
      </c>
      <c r="E304" s="337">
        <f>IF(B304&lt;&gt;"是","",IF(AND(Records!B226&lt;&gt;"",Records!D226&lt;&gt;"",ISNUMBER(Records!E226),Records!F226&lt;&gt;"",Records!G226&lt;&gt;"",Records!H226&lt;&gt;"",OR(AND(Records!B226="无明显偏好",OR(Records!C226="",Records!C226="N/A")),AND(Records!B226&lt;&gt;"无明显偏好",ISNUMBER(Records!C226),Records!C226&gt;=1,Records!C226&lt;=7))),"是","否"))</f>
        <v/>
      </c>
    </row>
    <row r="305"/>
    <row r="306"/>
    <row r="307" ht="23" customHeight="1">
      <c r="A307" s="333" t="inlineStr">
        <is>
          <t>D6. 参与者审计派生：分开记录施测完成与分析完整；不复制自由备注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30" customHeight="1">
      <c r="A308" s="334" t="inlineStr">
        <is>
          <t>Participant_ID</t>
        </is>
      </c>
      <c r="B308" s="334" t="inlineStr">
        <is>
          <t>Consented</t>
        </is>
      </c>
      <c r="C308" s="334" t="inlineStr">
        <is>
          <t>Started</t>
        </is>
      </c>
      <c r="D308" s="334" t="inlineStr">
        <is>
          <t>Completed_Session</t>
        </is>
      </c>
      <c r="E308" s="334" t="inlineStr">
        <is>
          <t>Analysis_Complete</t>
        </is>
      </c>
      <c r="F308" s="334" t="inlineStr">
        <is>
          <t>Included</t>
        </is>
      </c>
      <c r="G308" s="334" t="inlineStr">
        <is>
          <t>Age</t>
        </is>
      </c>
      <c r="H308" s="334" t="inlineStr">
        <is>
          <t>Gender</t>
        </is>
      </c>
      <c r="I308" s="334" t="inlineStr">
        <is>
          <t>Handedness</t>
        </is>
      </c>
      <c r="J308" s="334" t="inlineStr">
        <is>
          <t>Vision</t>
        </is>
      </c>
      <c r="K308" s="334" t="inlineStr">
        <is>
          <t>VRMR_Experience</t>
        </is>
      </c>
      <c r="L308" s="334" t="inlineStr">
        <is>
          <t>PhysicalMR_Experience</t>
        </is>
      </c>
      <c r="M308" s="334" t="inlineStr">
        <is>
          <t>Session_Duration_Min</t>
        </is>
      </c>
      <c r="N308" s="334" t="inlineStr">
        <is>
          <t>Valid_Blocks</t>
        </is>
      </c>
      <c r="O308" s="334" t="inlineStr">
        <is>
          <t>Completed_Method_Assessments</t>
        </is>
      </c>
      <c r="P308" s="334" t="inlineStr">
        <is>
          <t>Valid_Method_Records</t>
        </is>
      </c>
      <c r="Q308" s="334" t="inlineStr">
        <is>
          <t>Final_Complete</t>
        </is>
      </c>
      <c r="R308" s="334" t="inlineStr">
        <is>
          <t>Exclusion_Reason</t>
        </is>
      </c>
      <c r="S308" s="334" t="inlineStr">
        <is>
          <t>Baseline_Discomfort</t>
        </is>
      </c>
      <c r="T308" s="334" t="inlineStr">
        <is>
          <t>End_Discomfort</t>
        </is>
      </c>
      <c r="U308" s="334" t="inlineStr">
        <is>
          <t>Object_Order</t>
        </is>
      </c>
      <c r="V308" s="334" t="inlineStr">
        <is>
          <t>Method_Sequence</t>
        </is>
      </c>
      <c r="W308" s="334" t="inlineStr">
        <is>
          <t>A_Mapping</t>
        </is>
      </c>
      <c r="X308" s="334" t="inlineStr">
        <is>
          <t>First_Method</t>
        </is>
      </c>
      <c r="Y308" s="334" t="inlineStr">
        <is>
          <t>Discomfort_Change</t>
        </is>
      </c>
      <c r="Z308" s="334" t="inlineStr">
        <is>
          <t>Audit_Status</t>
        </is>
      </c>
    </row>
    <row r="309">
      <c r="A309" s="335">
        <f>Participants!A3</f>
        <v/>
      </c>
      <c r="B309" s="337">
        <f>IF(Participants!R3="","",Participants!R3)</f>
        <v/>
      </c>
      <c r="C309" s="337">
        <f>IF(Participants!T3&lt;&gt;"","是","否")</f>
        <v/>
      </c>
      <c r="D309" s="337">
        <f>IF(AND(Participants!T3&lt;&gt;"",Participants!U3&lt;&gt;""),"是","否")</f>
        <v/>
      </c>
      <c r="E309" s="337">
        <f>IF(AND(F309="是",N309=6,O309=2,P309=2,Q309="是"),"是","否")</f>
        <v/>
      </c>
      <c r="F309" s="337">
        <f>IF(Participants!V3="","",Participants!V3)</f>
        <v/>
      </c>
      <c r="G309" s="338">
        <f>IF($F309="是",IF(Participants!L3="","",Participants!L3),"")</f>
        <v/>
      </c>
      <c r="H309" s="336">
        <f>IF($F309="是",IF(Participants!M3="","",Participants!M3),"")</f>
        <v/>
      </c>
      <c r="I309" s="336">
        <f>IF($F309="是",IF(Participants!N3="","",Participants!N3),"")</f>
        <v/>
      </c>
      <c r="J309" s="336">
        <f>IF($F309="是",IF(Participants!O3="","",Participants!O3),"")</f>
        <v/>
      </c>
      <c r="K309" s="336">
        <f>IF($F309="是",IF(Participants!P3="","",Participants!P3),"")</f>
        <v/>
      </c>
      <c r="L309" s="336">
        <f>IF($F309="是",IF(Participants!Q3="","",Participants!Q3),"")</f>
        <v/>
      </c>
      <c r="M309" s="339">
        <f>IF(AND($F309="是",Participants!T3&lt;&gt;"",Participants!U3&lt;&gt;""),IFERROR(MOD(Participants!U3-Participants!T3,1)*1440,IFERROR(MOD(TIMEVALUE(Participants!U3)-TIMEVALUE(Participants!T3),1)*1440,"")),"")</f>
        <v/>
      </c>
      <c r="N309" s="338">
        <f>COUNTIFS($A$5:$A$148,$A309,$E$5:$E$148,"是")</f>
        <v/>
      </c>
      <c r="O309" s="340">
        <f>COUNTIFS($A$152:$A$199,$A309,$C$152:$C$199,"是")</f>
        <v/>
      </c>
      <c r="P309" s="340">
        <f>COUNTIFS($A$152:$A$199,$A309,$D$152:$D$199,"是")</f>
        <v/>
      </c>
      <c r="Q309" s="337">
        <f>IF(AND(Records!B203&lt;&gt;"",Records!D203&lt;&gt;"",ISNUMBER(Records!E203),Records!F203&lt;&gt;"",Records!G203&lt;&gt;"",Records!H203&lt;&gt;"",OR(AND(Records!B203="无明显偏好",OR(Records!C203="",Records!C203="N/A")),AND(Records!B203&lt;&gt;"无明显偏好",ISNUMBER(Records!C203),Records!C203&gt;=1,Records!C203&lt;=7))),"是","否")</f>
        <v/>
      </c>
      <c r="R309" s="336">
        <f>IF(Participants!W3="","",Participants!W3)</f>
        <v/>
      </c>
      <c r="S309" s="336">
        <f>IF(AND($B309="是",$C309="是"),IF(Participants!S3="","",Participants!S3),"")</f>
        <v/>
      </c>
      <c r="T309" s="336">
        <f>IF(AND($B309="是",$C309="是"),IF(Records!H203="","",Records!H203),"")</f>
        <v/>
      </c>
      <c r="U309" s="336">
        <f>IF($F309="是",Participants!C3,"")</f>
        <v/>
      </c>
      <c r="V309" s="336">
        <f>IF($F309="是",Participants!D3,"")</f>
        <v/>
      </c>
      <c r="W309" s="336">
        <f>IF($F309="是",Participants!I3,"")</f>
        <v/>
      </c>
      <c r="X309" s="336">
        <f>IF($F309="是",Participants!K3,"")</f>
        <v/>
      </c>
      <c r="Y309" s="337">
        <f>IF(OR(S309="",T309=""),"",IF(MATCH(T309,{"无","轻微","中等","明显","因不适中止"},0)&gt;MATCH(S309,{"无","轻微","中等","明显","因不适中止"},0),"Worsened",IF(MATCH(T309,{"无","轻微","中等","明显","因不适中止"},0)&lt;MATCH(S309,{"无","轻微","中等","明显","因不适中止"},0),"Improved","Unchanged")))</f>
        <v/>
      </c>
      <c r="Z309" s="337">
        <f>IF(AND(B309="",COUNTA(Participants!L3:X3)=0),"unused_slot",IF(B309&lt;&gt;"是","not_consented",IF(F309="是",IF(E309="是","included_complete","included_but_incomplete"),IF(F309="否",IF(R309="","excluded_reason_missing","excluded"),"pending_review"))))</f>
        <v/>
      </c>
    </row>
    <row r="310">
      <c r="A310" s="335">
        <f>Participants!A4</f>
        <v/>
      </c>
      <c r="B310" s="337">
        <f>IF(Participants!R4="","",Participants!R4)</f>
        <v/>
      </c>
      <c r="C310" s="337">
        <f>IF(Participants!T4&lt;&gt;"","是","否")</f>
        <v/>
      </c>
      <c r="D310" s="337">
        <f>IF(AND(Participants!T4&lt;&gt;"",Participants!U4&lt;&gt;""),"是","否")</f>
        <v/>
      </c>
      <c r="E310" s="337">
        <f>IF(AND(F310="是",N310=6,O310=2,P310=2,Q310="是"),"是","否")</f>
        <v/>
      </c>
      <c r="F310" s="337">
        <f>IF(Participants!V4="","",Participants!V4)</f>
        <v/>
      </c>
      <c r="G310" s="338">
        <f>IF($F310="是",IF(Participants!L4="","",Participants!L4),"")</f>
        <v/>
      </c>
      <c r="H310" s="336">
        <f>IF($F310="是",IF(Participants!M4="","",Participants!M4),"")</f>
        <v/>
      </c>
      <c r="I310" s="336">
        <f>IF($F310="是",IF(Participants!N4="","",Participants!N4),"")</f>
        <v/>
      </c>
      <c r="J310" s="336">
        <f>IF($F310="是",IF(Participants!O4="","",Participants!O4),"")</f>
        <v/>
      </c>
      <c r="K310" s="336">
        <f>IF($F310="是",IF(Participants!P4="","",Participants!P4),"")</f>
        <v/>
      </c>
      <c r="L310" s="336">
        <f>IF($F310="是",IF(Participants!Q4="","",Participants!Q4),"")</f>
        <v/>
      </c>
      <c r="M310" s="339">
        <f>IF(AND($F310="是",Participants!T4&lt;&gt;"",Participants!U4&lt;&gt;""),IFERROR(MOD(Participants!U4-Participants!T4,1)*1440,IFERROR(MOD(TIMEVALUE(Participants!U4)-TIMEVALUE(Participants!T4),1)*1440,"")),"")</f>
        <v/>
      </c>
      <c r="N310" s="338">
        <f>COUNTIFS($A$5:$A$148,$A310,$E$5:$E$148,"是")</f>
        <v/>
      </c>
      <c r="O310" s="340">
        <f>COUNTIFS($A$152:$A$199,$A310,$C$152:$C$199,"是")</f>
        <v/>
      </c>
      <c r="P310" s="340">
        <f>COUNTIFS($A$152:$A$199,$A310,$D$152:$D$199,"是")</f>
        <v/>
      </c>
      <c r="Q310" s="337">
        <f>IF(AND(Records!B204&lt;&gt;"",Records!D204&lt;&gt;"",ISNUMBER(Records!E204),Records!F204&lt;&gt;"",Records!G204&lt;&gt;"",Records!H204&lt;&gt;"",OR(AND(Records!B204="无明显偏好",OR(Records!C204="",Records!C204="N/A")),AND(Records!B204&lt;&gt;"无明显偏好",ISNUMBER(Records!C204),Records!C204&gt;=1,Records!C204&lt;=7))),"是","否")</f>
        <v/>
      </c>
      <c r="R310" s="336">
        <f>IF(Participants!W4="","",Participants!W4)</f>
        <v/>
      </c>
      <c r="S310" s="336">
        <f>IF(AND($B310="是",$C310="是"),IF(Participants!S4="","",Participants!S4),"")</f>
        <v/>
      </c>
      <c r="T310" s="336">
        <f>IF(AND($B310="是",$C310="是"),IF(Records!H204="","",Records!H204),"")</f>
        <v/>
      </c>
      <c r="U310" s="336">
        <f>IF($F310="是",Participants!C4,"")</f>
        <v/>
      </c>
      <c r="V310" s="336">
        <f>IF($F310="是",Participants!D4,"")</f>
        <v/>
      </c>
      <c r="W310" s="336">
        <f>IF($F310="是",Participants!I4,"")</f>
        <v/>
      </c>
      <c r="X310" s="336">
        <f>IF($F310="是",Participants!K4,"")</f>
        <v/>
      </c>
      <c r="Y310" s="337">
        <f>IF(OR(S310="",T310=""),"",IF(MATCH(T310,{"无","轻微","中等","明显","因不适中止"},0)&gt;MATCH(S310,{"无","轻微","中等","明显","因不适中止"},0),"Worsened",IF(MATCH(T310,{"无","轻微","中等","明显","因不适中止"},0)&lt;MATCH(S310,{"无","轻微","中等","明显","因不适中止"},0),"Improved","Unchanged")))</f>
        <v/>
      </c>
      <c r="Z310" s="337">
        <f>IF(AND(B310="",COUNTA(Participants!L4:X4)=0),"unused_slot",IF(B310&lt;&gt;"是","not_consented",IF(F310="是",IF(E310="是","included_complete","included_but_incomplete"),IF(F310="否",IF(R310="","excluded_reason_missing","excluded"),"pending_review"))))</f>
        <v/>
      </c>
    </row>
    <row r="311">
      <c r="A311" s="335">
        <f>Participants!A5</f>
        <v/>
      </c>
      <c r="B311" s="337">
        <f>IF(Participants!R5="","",Participants!R5)</f>
        <v/>
      </c>
      <c r="C311" s="337">
        <f>IF(Participants!T5&lt;&gt;"","是","否")</f>
        <v/>
      </c>
      <c r="D311" s="337">
        <f>IF(AND(Participants!T5&lt;&gt;"",Participants!U5&lt;&gt;""),"是","否")</f>
        <v/>
      </c>
      <c r="E311" s="337">
        <f>IF(AND(F311="是",N311=6,O311=2,P311=2,Q311="是"),"是","否")</f>
        <v/>
      </c>
      <c r="F311" s="337">
        <f>IF(Participants!V5="","",Participants!V5)</f>
        <v/>
      </c>
      <c r="G311" s="338">
        <f>IF($F311="是",IF(Participants!L5="","",Participants!L5),"")</f>
        <v/>
      </c>
      <c r="H311" s="336">
        <f>IF($F311="是",IF(Participants!M5="","",Participants!M5),"")</f>
        <v/>
      </c>
      <c r="I311" s="336">
        <f>IF($F311="是",IF(Participants!N5="","",Participants!N5),"")</f>
        <v/>
      </c>
      <c r="J311" s="336">
        <f>IF($F311="是",IF(Participants!O5="","",Participants!O5),"")</f>
        <v/>
      </c>
      <c r="K311" s="336">
        <f>IF($F311="是",IF(Participants!P5="","",Participants!P5),"")</f>
        <v/>
      </c>
      <c r="L311" s="336">
        <f>IF($F311="是",IF(Participants!Q5="","",Participants!Q5),"")</f>
        <v/>
      </c>
      <c r="M311" s="339">
        <f>IF(AND($F311="是",Participants!T5&lt;&gt;"",Participants!U5&lt;&gt;""),IFERROR(MOD(Participants!U5-Participants!T5,1)*1440,IFERROR(MOD(TIMEVALUE(Participants!U5)-TIMEVALUE(Participants!T5),1)*1440,"")),"")</f>
        <v/>
      </c>
      <c r="N311" s="338">
        <f>COUNTIFS($A$5:$A$148,$A311,$E$5:$E$148,"是")</f>
        <v/>
      </c>
      <c r="O311" s="340">
        <f>COUNTIFS($A$152:$A$199,$A311,$C$152:$C$199,"是")</f>
        <v/>
      </c>
      <c r="P311" s="340">
        <f>COUNTIFS($A$152:$A$199,$A311,$D$152:$D$199,"是")</f>
        <v/>
      </c>
      <c r="Q311" s="337">
        <f>IF(AND(Records!B205&lt;&gt;"",Records!D205&lt;&gt;"",ISNUMBER(Records!E205),Records!F205&lt;&gt;"",Records!G205&lt;&gt;"",Records!H205&lt;&gt;"",OR(AND(Records!B205="无明显偏好",OR(Records!C205="",Records!C205="N/A")),AND(Records!B205&lt;&gt;"无明显偏好",ISNUMBER(Records!C205),Records!C205&gt;=1,Records!C205&lt;=7))),"是","否")</f>
        <v/>
      </c>
      <c r="R311" s="336">
        <f>IF(Participants!W5="","",Participants!W5)</f>
        <v/>
      </c>
      <c r="S311" s="336">
        <f>IF(AND($B311="是",$C311="是"),IF(Participants!S5="","",Participants!S5),"")</f>
        <v/>
      </c>
      <c r="T311" s="336">
        <f>IF(AND($B311="是",$C311="是"),IF(Records!H205="","",Records!H205),"")</f>
        <v/>
      </c>
      <c r="U311" s="336">
        <f>IF($F311="是",Participants!C5,"")</f>
        <v/>
      </c>
      <c r="V311" s="336">
        <f>IF($F311="是",Participants!D5,"")</f>
        <v/>
      </c>
      <c r="W311" s="336">
        <f>IF($F311="是",Participants!I5,"")</f>
        <v/>
      </c>
      <c r="X311" s="336">
        <f>IF($F311="是",Participants!K5,"")</f>
        <v/>
      </c>
      <c r="Y311" s="337">
        <f>IF(OR(S311="",T311=""),"",IF(MATCH(T311,{"无","轻微","中等","明显","因不适中止"},0)&gt;MATCH(S311,{"无","轻微","中等","明显","因不适中止"},0),"Worsened",IF(MATCH(T311,{"无","轻微","中等","明显","因不适中止"},0)&lt;MATCH(S311,{"无","轻微","中等","明显","因不适中止"},0),"Improved","Unchanged")))</f>
        <v/>
      </c>
      <c r="Z311" s="337">
        <f>IF(AND(B311="",COUNTA(Participants!L5:X5)=0),"unused_slot",IF(B311&lt;&gt;"是","not_consented",IF(F311="是",IF(E311="是","included_complete","included_but_incomplete"),IF(F311="否",IF(R311="","excluded_reason_missing","excluded"),"pending_review"))))</f>
        <v/>
      </c>
    </row>
    <row r="312">
      <c r="A312" s="335">
        <f>Participants!A6</f>
        <v/>
      </c>
      <c r="B312" s="337">
        <f>IF(Participants!R6="","",Participants!R6)</f>
        <v/>
      </c>
      <c r="C312" s="337">
        <f>IF(Participants!T6&lt;&gt;"","是","否")</f>
        <v/>
      </c>
      <c r="D312" s="337">
        <f>IF(AND(Participants!T6&lt;&gt;"",Participants!U6&lt;&gt;""),"是","否")</f>
        <v/>
      </c>
      <c r="E312" s="337">
        <f>IF(AND(F312="是",N312=6,O312=2,P312=2,Q312="是"),"是","否")</f>
        <v/>
      </c>
      <c r="F312" s="337">
        <f>IF(Participants!V6="","",Participants!V6)</f>
        <v/>
      </c>
      <c r="G312" s="338">
        <f>IF($F312="是",IF(Participants!L6="","",Participants!L6),"")</f>
        <v/>
      </c>
      <c r="H312" s="336">
        <f>IF($F312="是",IF(Participants!M6="","",Participants!M6),"")</f>
        <v/>
      </c>
      <c r="I312" s="336">
        <f>IF($F312="是",IF(Participants!N6="","",Participants!N6),"")</f>
        <v/>
      </c>
      <c r="J312" s="336">
        <f>IF($F312="是",IF(Participants!O6="","",Participants!O6),"")</f>
        <v/>
      </c>
      <c r="K312" s="336">
        <f>IF($F312="是",IF(Participants!P6="","",Participants!P6),"")</f>
        <v/>
      </c>
      <c r="L312" s="336">
        <f>IF($F312="是",IF(Participants!Q6="","",Participants!Q6),"")</f>
        <v/>
      </c>
      <c r="M312" s="339">
        <f>IF(AND($F312="是",Participants!T6&lt;&gt;"",Participants!U6&lt;&gt;""),IFERROR(MOD(Participants!U6-Participants!T6,1)*1440,IFERROR(MOD(TIMEVALUE(Participants!U6)-TIMEVALUE(Participants!T6),1)*1440,"")),"")</f>
        <v/>
      </c>
      <c r="N312" s="338">
        <f>COUNTIFS($A$5:$A$148,$A312,$E$5:$E$148,"是")</f>
        <v/>
      </c>
      <c r="O312" s="340">
        <f>COUNTIFS($A$152:$A$199,$A312,$C$152:$C$199,"是")</f>
        <v/>
      </c>
      <c r="P312" s="340">
        <f>COUNTIFS($A$152:$A$199,$A312,$D$152:$D$199,"是")</f>
        <v/>
      </c>
      <c r="Q312" s="337">
        <f>IF(AND(Records!B206&lt;&gt;"",Records!D206&lt;&gt;"",ISNUMBER(Records!E206),Records!F206&lt;&gt;"",Records!G206&lt;&gt;"",Records!H206&lt;&gt;"",OR(AND(Records!B206="无明显偏好",OR(Records!C206="",Records!C206="N/A")),AND(Records!B206&lt;&gt;"无明显偏好",ISNUMBER(Records!C206),Records!C206&gt;=1,Records!C206&lt;=7))),"是","否")</f>
        <v/>
      </c>
      <c r="R312" s="336">
        <f>IF(Participants!W6="","",Participants!W6)</f>
        <v/>
      </c>
      <c r="S312" s="336">
        <f>IF(AND($B312="是",$C312="是"),IF(Participants!S6="","",Participants!S6),"")</f>
        <v/>
      </c>
      <c r="T312" s="336">
        <f>IF(AND($B312="是",$C312="是"),IF(Records!H206="","",Records!H206),"")</f>
        <v/>
      </c>
      <c r="U312" s="336">
        <f>IF($F312="是",Participants!C6,"")</f>
        <v/>
      </c>
      <c r="V312" s="336">
        <f>IF($F312="是",Participants!D6,"")</f>
        <v/>
      </c>
      <c r="W312" s="336">
        <f>IF($F312="是",Participants!I6,"")</f>
        <v/>
      </c>
      <c r="X312" s="336">
        <f>IF($F312="是",Participants!K6,"")</f>
        <v/>
      </c>
      <c r="Y312" s="337">
        <f>IF(OR(S312="",T312=""),"",IF(MATCH(T312,{"无","轻微","中等","明显","因不适中止"},0)&gt;MATCH(S312,{"无","轻微","中等","明显","因不适中止"},0),"Worsened",IF(MATCH(T312,{"无","轻微","中等","明显","因不适中止"},0)&lt;MATCH(S312,{"无","轻微","中等","明显","因不适中止"},0),"Improved","Unchanged")))</f>
        <v/>
      </c>
      <c r="Z312" s="337">
        <f>IF(AND(B312="",COUNTA(Participants!L6:X6)=0),"unused_slot",IF(B312&lt;&gt;"是","not_consented",IF(F312="是",IF(E312="是","included_complete","included_but_incomplete"),IF(F312="否",IF(R312="","excluded_reason_missing","excluded"),"pending_review"))))</f>
        <v/>
      </c>
    </row>
    <row r="313">
      <c r="A313" s="335">
        <f>Participants!A7</f>
        <v/>
      </c>
      <c r="B313" s="337">
        <f>IF(Participants!R7="","",Participants!R7)</f>
        <v/>
      </c>
      <c r="C313" s="337">
        <f>IF(Participants!T7&lt;&gt;"","是","否")</f>
        <v/>
      </c>
      <c r="D313" s="337">
        <f>IF(AND(Participants!T7&lt;&gt;"",Participants!U7&lt;&gt;""),"是","否")</f>
        <v/>
      </c>
      <c r="E313" s="337">
        <f>IF(AND(F313="是",N313=6,O313=2,P313=2,Q313="是"),"是","否")</f>
        <v/>
      </c>
      <c r="F313" s="337">
        <f>IF(Participants!V7="","",Participants!V7)</f>
        <v/>
      </c>
      <c r="G313" s="338">
        <f>IF($F313="是",IF(Participants!L7="","",Participants!L7),"")</f>
        <v/>
      </c>
      <c r="H313" s="336">
        <f>IF($F313="是",IF(Participants!M7="","",Participants!M7),"")</f>
        <v/>
      </c>
      <c r="I313" s="336">
        <f>IF($F313="是",IF(Participants!N7="","",Participants!N7),"")</f>
        <v/>
      </c>
      <c r="J313" s="336">
        <f>IF($F313="是",IF(Participants!O7="","",Participants!O7),"")</f>
        <v/>
      </c>
      <c r="K313" s="336">
        <f>IF($F313="是",IF(Participants!P7="","",Participants!P7),"")</f>
        <v/>
      </c>
      <c r="L313" s="336">
        <f>IF($F313="是",IF(Participants!Q7="","",Participants!Q7),"")</f>
        <v/>
      </c>
      <c r="M313" s="339">
        <f>IF(AND($F313="是",Participants!T7&lt;&gt;"",Participants!U7&lt;&gt;""),IFERROR(MOD(Participants!U7-Participants!T7,1)*1440,IFERROR(MOD(TIMEVALUE(Participants!U7)-TIMEVALUE(Participants!T7),1)*1440,"")),"")</f>
        <v/>
      </c>
      <c r="N313" s="338">
        <f>COUNTIFS($A$5:$A$148,$A313,$E$5:$E$148,"是")</f>
        <v/>
      </c>
      <c r="O313" s="340">
        <f>COUNTIFS($A$152:$A$199,$A313,$C$152:$C$199,"是")</f>
        <v/>
      </c>
      <c r="P313" s="340">
        <f>COUNTIFS($A$152:$A$199,$A313,$D$152:$D$199,"是")</f>
        <v/>
      </c>
      <c r="Q313" s="337">
        <f>IF(AND(Records!B207&lt;&gt;"",Records!D207&lt;&gt;"",ISNUMBER(Records!E207),Records!F207&lt;&gt;"",Records!G207&lt;&gt;"",Records!H207&lt;&gt;"",OR(AND(Records!B207="无明显偏好",OR(Records!C207="",Records!C207="N/A")),AND(Records!B207&lt;&gt;"无明显偏好",ISNUMBER(Records!C207),Records!C207&gt;=1,Records!C207&lt;=7))),"是","否")</f>
        <v/>
      </c>
      <c r="R313" s="336">
        <f>IF(Participants!W7="","",Participants!W7)</f>
        <v/>
      </c>
      <c r="S313" s="336">
        <f>IF(AND($B313="是",$C313="是"),IF(Participants!S7="","",Participants!S7),"")</f>
        <v/>
      </c>
      <c r="T313" s="336">
        <f>IF(AND($B313="是",$C313="是"),IF(Records!H207="","",Records!H207),"")</f>
        <v/>
      </c>
      <c r="U313" s="336">
        <f>IF($F313="是",Participants!C7,"")</f>
        <v/>
      </c>
      <c r="V313" s="336">
        <f>IF($F313="是",Participants!D7,"")</f>
        <v/>
      </c>
      <c r="W313" s="336">
        <f>IF($F313="是",Participants!I7,"")</f>
        <v/>
      </c>
      <c r="X313" s="336">
        <f>IF($F313="是",Participants!K7,"")</f>
        <v/>
      </c>
      <c r="Y313" s="337">
        <f>IF(OR(S313="",T313=""),"",IF(MATCH(T313,{"无","轻微","中等","明显","因不适中止"},0)&gt;MATCH(S313,{"无","轻微","中等","明显","因不适中止"},0),"Worsened",IF(MATCH(T313,{"无","轻微","中等","明显","因不适中止"},0)&lt;MATCH(S313,{"无","轻微","中等","明显","因不适中止"},0),"Improved","Unchanged")))</f>
        <v/>
      </c>
      <c r="Z313" s="337">
        <f>IF(AND(B313="",COUNTA(Participants!L7:X7)=0),"unused_slot",IF(B313&lt;&gt;"是","not_consented",IF(F313="是",IF(E313="是","included_complete","included_but_incomplete"),IF(F313="否",IF(R313="","excluded_reason_missing","excluded"),"pending_review"))))</f>
        <v/>
      </c>
    </row>
    <row r="314">
      <c r="A314" s="335">
        <f>Participants!A8</f>
        <v/>
      </c>
      <c r="B314" s="337">
        <f>IF(Participants!R8="","",Participants!R8)</f>
        <v/>
      </c>
      <c r="C314" s="337">
        <f>IF(Participants!T8&lt;&gt;"","是","否")</f>
        <v/>
      </c>
      <c r="D314" s="337">
        <f>IF(AND(Participants!T8&lt;&gt;"",Participants!U8&lt;&gt;""),"是","否")</f>
        <v/>
      </c>
      <c r="E314" s="337">
        <f>IF(AND(F314="是",N314=6,O314=2,P314=2,Q314="是"),"是","否")</f>
        <v/>
      </c>
      <c r="F314" s="337">
        <f>IF(Participants!V8="","",Participants!V8)</f>
        <v/>
      </c>
      <c r="G314" s="338">
        <f>IF($F314="是",IF(Participants!L8="","",Participants!L8),"")</f>
        <v/>
      </c>
      <c r="H314" s="336">
        <f>IF($F314="是",IF(Participants!M8="","",Participants!M8),"")</f>
        <v/>
      </c>
      <c r="I314" s="336">
        <f>IF($F314="是",IF(Participants!N8="","",Participants!N8),"")</f>
        <v/>
      </c>
      <c r="J314" s="336">
        <f>IF($F314="是",IF(Participants!O8="","",Participants!O8),"")</f>
        <v/>
      </c>
      <c r="K314" s="336">
        <f>IF($F314="是",IF(Participants!P8="","",Participants!P8),"")</f>
        <v/>
      </c>
      <c r="L314" s="336">
        <f>IF($F314="是",IF(Participants!Q8="","",Participants!Q8),"")</f>
        <v/>
      </c>
      <c r="M314" s="339">
        <f>IF(AND($F314="是",Participants!T8&lt;&gt;"",Participants!U8&lt;&gt;""),IFERROR(MOD(Participants!U8-Participants!T8,1)*1440,IFERROR(MOD(TIMEVALUE(Participants!U8)-TIMEVALUE(Participants!T8),1)*1440,"")),"")</f>
        <v/>
      </c>
      <c r="N314" s="338">
        <f>COUNTIFS($A$5:$A$148,$A314,$E$5:$E$148,"是")</f>
        <v/>
      </c>
      <c r="O314" s="340">
        <f>COUNTIFS($A$152:$A$199,$A314,$C$152:$C$199,"是")</f>
        <v/>
      </c>
      <c r="P314" s="340">
        <f>COUNTIFS($A$152:$A$199,$A314,$D$152:$D$199,"是")</f>
        <v/>
      </c>
      <c r="Q314" s="337">
        <f>IF(AND(Records!B208&lt;&gt;"",Records!D208&lt;&gt;"",ISNUMBER(Records!E208),Records!F208&lt;&gt;"",Records!G208&lt;&gt;"",Records!H208&lt;&gt;"",OR(AND(Records!B208="无明显偏好",OR(Records!C208="",Records!C208="N/A")),AND(Records!B208&lt;&gt;"无明显偏好",ISNUMBER(Records!C208),Records!C208&gt;=1,Records!C208&lt;=7))),"是","否")</f>
        <v/>
      </c>
      <c r="R314" s="336">
        <f>IF(Participants!W8="","",Participants!W8)</f>
        <v/>
      </c>
      <c r="S314" s="336">
        <f>IF(AND($B314="是",$C314="是"),IF(Participants!S8="","",Participants!S8),"")</f>
        <v/>
      </c>
      <c r="T314" s="336">
        <f>IF(AND($B314="是",$C314="是"),IF(Records!H208="","",Records!H208),"")</f>
        <v/>
      </c>
      <c r="U314" s="336">
        <f>IF($F314="是",Participants!C8,"")</f>
        <v/>
      </c>
      <c r="V314" s="336">
        <f>IF($F314="是",Participants!D8,"")</f>
        <v/>
      </c>
      <c r="W314" s="336">
        <f>IF($F314="是",Participants!I8,"")</f>
        <v/>
      </c>
      <c r="X314" s="336">
        <f>IF($F314="是",Participants!K8,"")</f>
        <v/>
      </c>
      <c r="Y314" s="337">
        <f>IF(OR(S314="",T314=""),"",IF(MATCH(T314,{"无","轻微","中等","明显","因不适中止"},0)&gt;MATCH(S314,{"无","轻微","中等","明显","因不适中止"},0),"Worsened",IF(MATCH(T314,{"无","轻微","中等","明显","因不适中止"},0)&lt;MATCH(S314,{"无","轻微","中等","明显","因不适中止"},0),"Improved","Unchanged")))</f>
        <v/>
      </c>
      <c r="Z314" s="337">
        <f>IF(AND(B314="",COUNTA(Participants!L8:X8)=0),"unused_slot",IF(B314&lt;&gt;"是","not_consented",IF(F314="是",IF(E314="是","included_complete","included_but_incomplete"),IF(F314="否",IF(R314="","excluded_reason_missing","excluded"),"pending_review"))))</f>
        <v/>
      </c>
    </row>
    <row r="315">
      <c r="A315" s="335">
        <f>Participants!A9</f>
        <v/>
      </c>
      <c r="B315" s="337">
        <f>IF(Participants!R9="","",Participants!R9)</f>
        <v/>
      </c>
      <c r="C315" s="337">
        <f>IF(Participants!T9&lt;&gt;"","是","否")</f>
        <v/>
      </c>
      <c r="D315" s="337">
        <f>IF(AND(Participants!T9&lt;&gt;"",Participants!U9&lt;&gt;""),"是","否")</f>
        <v/>
      </c>
      <c r="E315" s="337">
        <f>IF(AND(F315="是",N315=6,O315=2,P315=2,Q315="是"),"是","否")</f>
        <v/>
      </c>
      <c r="F315" s="337">
        <f>IF(Participants!V9="","",Participants!V9)</f>
        <v/>
      </c>
      <c r="G315" s="338">
        <f>IF($F315="是",IF(Participants!L9="","",Participants!L9),"")</f>
        <v/>
      </c>
      <c r="H315" s="336">
        <f>IF($F315="是",IF(Participants!M9="","",Participants!M9),"")</f>
        <v/>
      </c>
      <c r="I315" s="336">
        <f>IF($F315="是",IF(Participants!N9="","",Participants!N9),"")</f>
        <v/>
      </c>
      <c r="J315" s="336">
        <f>IF($F315="是",IF(Participants!O9="","",Participants!O9),"")</f>
        <v/>
      </c>
      <c r="K315" s="336">
        <f>IF($F315="是",IF(Participants!P9="","",Participants!P9),"")</f>
        <v/>
      </c>
      <c r="L315" s="336">
        <f>IF($F315="是",IF(Participants!Q9="","",Participants!Q9),"")</f>
        <v/>
      </c>
      <c r="M315" s="339">
        <f>IF(AND($F315="是",Participants!T9&lt;&gt;"",Participants!U9&lt;&gt;""),IFERROR(MOD(Participants!U9-Participants!T9,1)*1440,IFERROR(MOD(TIMEVALUE(Participants!U9)-TIMEVALUE(Participants!T9),1)*1440,"")),"")</f>
        <v/>
      </c>
      <c r="N315" s="338">
        <f>COUNTIFS($A$5:$A$148,$A315,$E$5:$E$148,"是")</f>
        <v/>
      </c>
      <c r="O315" s="340">
        <f>COUNTIFS($A$152:$A$199,$A315,$C$152:$C$199,"是")</f>
        <v/>
      </c>
      <c r="P315" s="340">
        <f>COUNTIFS($A$152:$A$199,$A315,$D$152:$D$199,"是")</f>
        <v/>
      </c>
      <c r="Q315" s="337">
        <f>IF(AND(Records!B209&lt;&gt;"",Records!D209&lt;&gt;"",ISNUMBER(Records!E209),Records!F209&lt;&gt;"",Records!G209&lt;&gt;"",Records!H209&lt;&gt;"",OR(AND(Records!B209="无明显偏好",OR(Records!C209="",Records!C209="N/A")),AND(Records!B209&lt;&gt;"无明显偏好",ISNUMBER(Records!C209),Records!C209&gt;=1,Records!C209&lt;=7))),"是","否")</f>
        <v/>
      </c>
      <c r="R315" s="336">
        <f>IF(Participants!W9="","",Participants!W9)</f>
        <v/>
      </c>
      <c r="S315" s="336">
        <f>IF(AND($B315="是",$C315="是"),IF(Participants!S9="","",Participants!S9),"")</f>
        <v/>
      </c>
      <c r="T315" s="336">
        <f>IF(AND($B315="是",$C315="是"),IF(Records!H209="","",Records!H209),"")</f>
        <v/>
      </c>
      <c r="U315" s="336">
        <f>IF($F315="是",Participants!C9,"")</f>
        <v/>
      </c>
      <c r="V315" s="336">
        <f>IF($F315="是",Participants!D9,"")</f>
        <v/>
      </c>
      <c r="W315" s="336">
        <f>IF($F315="是",Participants!I9,"")</f>
        <v/>
      </c>
      <c r="X315" s="336">
        <f>IF($F315="是",Participants!K9,"")</f>
        <v/>
      </c>
      <c r="Y315" s="337">
        <f>IF(OR(S315="",T315=""),"",IF(MATCH(T315,{"无","轻微","中等","明显","因不适中止"},0)&gt;MATCH(S315,{"无","轻微","中等","明显","因不适中止"},0),"Worsened",IF(MATCH(T315,{"无","轻微","中等","明显","因不适中止"},0)&lt;MATCH(S315,{"无","轻微","中等","明显","因不适中止"},0),"Improved","Unchanged")))</f>
        <v/>
      </c>
      <c r="Z315" s="337">
        <f>IF(AND(B315="",COUNTA(Participants!L9:X9)=0),"unused_slot",IF(B315&lt;&gt;"是","not_consented",IF(F315="是",IF(E315="是","included_complete","included_but_incomplete"),IF(F315="否",IF(R315="","excluded_reason_missing","excluded"),"pending_review"))))</f>
        <v/>
      </c>
    </row>
    <row r="316">
      <c r="A316" s="335">
        <f>Participants!A10</f>
        <v/>
      </c>
      <c r="B316" s="337">
        <f>IF(Participants!R10="","",Participants!R10)</f>
        <v/>
      </c>
      <c r="C316" s="337">
        <f>IF(Participants!T10&lt;&gt;"","是","否")</f>
        <v/>
      </c>
      <c r="D316" s="337">
        <f>IF(AND(Participants!T10&lt;&gt;"",Participants!U10&lt;&gt;""),"是","否")</f>
        <v/>
      </c>
      <c r="E316" s="337">
        <f>IF(AND(F316="是",N316=6,O316=2,P316=2,Q316="是"),"是","否")</f>
        <v/>
      </c>
      <c r="F316" s="337">
        <f>IF(Participants!V10="","",Participants!V10)</f>
        <v/>
      </c>
      <c r="G316" s="338">
        <f>IF($F316="是",IF(Participants!L10="","",Participants!L10),"")</f>
        <v/>
      </c>
      <c r="H316" s="336">
        <f>IF($F316="是",IF(Participants!M10="","",Participants!M10),"")</f>
        <v/>
      </c>
      <c r="I316" s="336">
        <f>IF($F316="是",IF(Participants!N10="","",Participants!N10),"")</f>
        <v/>
      </c>
      <c r="J316" s="336">
        <f>IF($F316="是",IF(Participants!O10="","",Participants!O10),"")</f>
        <v/>
      </c>
      <c r="K316" s="336">
        <f>IF($F316="是",IF(Participants!P10="","",Participants!P10),"")</f>
        <v/>
      </c>
      <c r="L316" s="336">
        <f>IF($F316="是",IF(Participants!Q10="","",Participants!Q10),"")</f>
        <v/>
      </c>
      <c r="M316" s="339">
        <f>IF(AND($F316="是",Participants!T10&lt;&gt;"",Participants!U10&lt;&gt;""),IFERROR(MOD(Participants!U10-Participants!T10,1)*1440,IFERROR(MOD(TIMEVALUE(Participants!U10)-TIMEVALUE(Participants!T10),1)*1440,"")),"")</f>
        <v/>
      </c>
      <c r="N316" s="338">
        <f>COUNTIFS($A$5:$A$148,$A316,$E$5:$E$148,"是")</f>
        <v/>
      </c>
      <c r="O316" s="340">
        <f>COUNTIFS($A$152:$A$199,$A316,$C$152:$C$199,"是")</f>
        <v/>
      </c>
      <c r="P316" s="340">
        <f>COUNTIFS($A$152:$A$199,$A316,$D$152:$D$199,"是")</f>
        <v/>
      </c>
      <c r="Q316" s="337">
        <f>IF(AND(Records!B210&lt;&gt;"",Records!D210&lt;&gt;"",ISNUMBER(Records!E210),Records!F210&lt;&gt;"",Records!G210&lt;&gt;"",Records!H210&lt;&gt;"",OR(AND(Records!B210="无明显偏好",OR(Records!C210="",Records!C210="N/A")),AND(Records!B210&lt;&gt;"无明显偏好",ISNUMBER(Records!C210),Records!C210&gt;=1,Records!C210&lt;=7))),"是","否")</f>
        <v/>
      </c>
      <c r="R316" s="336">
        <f>IF(Participants!W10="","",Participants!W10)</f>
        <v/>
      </c>
      <c r="S316" s="336">
        <f>IF(AND($B316="是",$C316="是"),IF(Participants!S10="","",Participants!S10),"")</f>
        <v/>
      </c>
      <c r="T316" s="336">
        <f>IF(AND($B316="是",$C316="是"),IF(Records!H210="","",Records!H210),"")</f>
        <v/>
      </c>
      <c r="U316" s="336">
        <f>IF($F316="是",Participants!C10,"")</f>
        <v/>
      </c>
      <c r="V316" s="336">
        <f>IF($F316="是",Participants!D10,"")</f>
        <v/>
      </c>
      <c r="W316" s="336">
        <f>IF($F316="是",Participants!I10,"")</f>
        <v/>
      </c>
      <c r="X316" s="336">
        <f>IF($F316="是",Participants!K10,"")</f>
        <v/>
      </c>
      <c r="Y316" s="337">
        <f>IF(OR(S316="",T316=""),"",IF(MATCH(T316,{"无","轻微","中等","明显","因不适中止"},0)&gt;MATCH(S316,{"无","轻微","中等","明显","因不适中止"},0),"Worsened",IF(MATCH(T316,{"无","轻微","中等","明显","因不适中止"},0)&lt;MATCH(S316,{"无","轻微","中等","明显","因不适中止"},0),"Improved","Unchanged")))</f>
        <v/>
      </c>
      <c r="Z316" s="337">
        <f>IF(AND(B316="",COUNTA(Participants!L10:X10)=0),"unused_slot",IF(B316&lt;&gt;"是","not_consented",IF(F316="是",IF(E316="是","included_complete","included_but_incomplete"),IF(F316="否",IF(R316="","excluded_reason_missing","excluded"),"pending_review"))))</f>
        <v/>
      </c>
    </row>
    <row r="317">
      <c r="A317" s="335">
        <f>Participants!A11</f>
        <v/>
      </c>
      <c r="B317" s="337">
        <f>IF(Participants!R11="","",Participants!R11)</f>
        <v/>
      </c>
      <c r="C317" s="337">
        <f>IF(Participants!T11&lt;&gt;"","是","否")</f>
        <v/>
      </c>
      <c r="D317" s="337">
        <f>IF(AND(Participants!T11&lt;&gt;"",Participants!U11&lt;&gt;""),"是","否")</f>
        <v/>
      </c>
      <c r="E317" s="337">
        <f>IF(AND(F317="是",N317=6,O317=2,P317=2,Q317="是"),"是","否")</f>
        <v/>
      </c>
      <c r="F317" s="337">
        <f>IF(Participants!V11="","",Participants!V11)</f>
        <v/>
      </c>
      <c r="G317" s="338">
        <f>IF($F317="是",IF(Participants!L11="","",Participants!L11),"")</f>
        <v/>
      </c>
      <c r="H317" s="336">
        <f>IF($F317="是",IF(Participants!M11="","",Participants!M11),"")</f>
        <v/>
      </c>
      <c r="I317" s="336">
        <f>IF($F317="是",IF(Participants!N11="","",Participants!N11),"")</f>
        <v/>
      </c>
      <c r="J317" s="336">
        <f>IF($F317="是",IF(Participants!O11="","",Participants!O11),"")</f>
        <v/>
      </c>
      <c r="K317" s="336">
        <f>IF($F317="是",IF(Participants!P11="","",Participants!P11),"")</f>
        <v/>
      </c>
      <c r="L317" s="336">
        <f>IF($F317="是",IF(Participants!Q11="","",Participants!Q11),"")</f>
        <v/>
      </c>
      <c r="M317" s="339">
        <f>IF(AND($F317="是",Participants!T11&lt;&gt;"",Participants!U11&lt;&gt;""),IFERROR(MOD(Participants!U11-Participants!T11,1)*1440,IFERROR(MOD(TIMEVALUE(Participants!U11)-TIMEVALUE(Participants!T11),1)*1440,"")),"")</f>
        <v/>
      </c>
      <c r="N317" s="338">
        <f>COUNTIFS($A$5:$A$148,$A317,$E$5:$E$148,"是")</f>
        <v/>
      </c>
      <c r="O317" s="340">
        <f>COUNTIFS($A$152:$A$199,$A317,$C$152:$C$199,"是")</f>
        <v/>
      </c>
      <c r="P317" s="340">
        <f>COUNTIFS($A$152:$A$199,$A317,$D$152:$D$199,"是")</f>
        <v/>
      </c>
      <c r="Q317" s="337">
        <f>IF(AND(Records!B211&lt;&gt;"",Records!D211&lt;&gt;"",ISNUMBER(Records!E211),Records!F211&lt;&gt;"",Records!G211&lt;&gt;"",Records!H211&lt;&gt;"",OR(AND(Records!B211="无明显偏好",OR(Records!C211="",Records!C211="N/A")),AND(Records!B211&lt;&gt;"无明显偏好",ISNUMBER(Records!C211),Records!C211&gt;=1,Records!C211&lt;=7))),"是","否")</f>
        <v/>
      </c>
      <c r="R317" s="336">
        <f>IF(Participants!W11="","",Participants!W11)</f>
        <v/>
      </c>
      <c r="S317" s="336">
        <f>IF(AND($B317="是",$C317="是"),IF(Participants!S11="","",Participants!S11),"")</f>
        <v/>
      </c>
      <c r="T317" s="336">
        <f>IF(AND($B317="是",$C317="是"),IF(Records!H211="","",Records!H211),"")</f>
        <v/>
      </c>
      <c r="U317" s="336">
        <f>IF($F317="是",Participants!C11,"")</f>
        <v/>
      </c>
      <c r="V317" s="336">
        <f>IF($F317="是",Participants!D11,"")</f>
        <v/>
      </c>
      <c r="W317" s="336">
        <f>IF($F317="是",Participants!I11,"")</f>
        <v/>
      </c>
      <c r="X317" s="336">
        <f>IF($F317="是",Participants!K11,"")</f>
        <v/>
      </c>
      <c r="Y317" s="337">
        <f>IF(OR(S317="",T317=""),"",IF(MATCH(T317,{"无","轻微","中等","明显","因不适中止"},0)&gt;MATCH(S317,{"无","轻微","中等","明显","因不适中止"},0),"Worsened",IF(MATCH(T317,{"无","轻微","中等","明显","因不适中止"},0)&lt;MATCH(S317,{"无","轻微","中等","明显","因不适中止"},0),"Improved","Unchanged")))</f>
        <v/>
      </c>
      <c r="Z317" s="337">
        <f>IF(AND(B317="",COUNTA(Participants!L11:X11)=0),"unused_slot",IF(B317&lt;&gt;"是","not_consented",IF(F317="是",IF(E317="是","included_complete","included_but_incomplete"),IF(F317="否",IF(R317="","excluded_reason_missing","excluded"),"pending_review"))))</f>
        <v/>
      </c>
    </row>
    <row r="318">
      <c r="A318" s="335">
        <f>Participants!A12</f>
        <v/>
      </c>
      <c r="B318" s="337">
        <f>IF(Participants!R12="","",Participants!R12)</f>
        <v/>
      </c>
      <c r="C318" s="337">
        <f>IF(Participants!T12&lt;&gt;"","是","否")</f>
        <v/>
      </c>
      <c r="D318" s="337">
        <f>IF(AND(Participants!T12&lt;&gt;"",Participants!U12&lt;&gt;""),"是","否")</f>
        <v/>
      </c>
      <c r="E318" s="337">
        <f>IF(AND(F318="是",N318=6,O318=2,P318=2,Q318="是"),"是","否")</f>
        <v/>
      </c>
      <c r="F318" s="337">
        <f>IF(Participants!V12="","",Participants!V12)</f>
        <v/>
      </c>
      <c r="G318" s="338">
        <f>IF($F318="是",IF(Participants!L12="","",Participants!L12),"")</f>
        <v/>
      </c>
      <c r="H318" s="336">
        <f>IF($F318="是",IF(Participants!M12="","",Participants!M12),"")</f>
        <v/>
      </c>
      <c r="I318" s="336">
        <f>IF($F318="是",IF(Participants!N12="","",Participants!N12),"")</f>
        <v/>
      </c>
      <c r="J318" s="336">
        <f>IF($F318="是",IF(Participants!O12="","",Participants!O12),"")</f>
        <v/>
      </c>
      <c r="K318" s="336">
        <f>IF($F318="是",IF(Participants!P12="","",Participants!P12),"")</f>
        <v/>
      </c>
      <c r="L318" s="336">
        <f>IF($F318="是",IF(Participants!Q12="","",Participants!Q12),"")</f>
        <v/>
      </c>
      <c r="M318" s="339">
        <f>IF(AND($F318="是",Participants!T12&lt;&gt;"",Participants!U12&lt;&gt;""),IFERROR(MOD(Participants!U12-Participants!T12,1)*1440,IFERROR(MOD(TIMEVALUE(Participants!U12)-TIMEVALUE(Participants!T12),1)*1440,"")),"")</f>
        <v/>
      </c>
      <c r="N318" s="338">
        <f>COUNTIFS($A$5:$A$148,$A318,$E$5:$E$148,"是")</f>
        <v/>
      </c>
      <c r="O318" s="340">
        <f>COUNTIFS($A$152:$A$199,$A318,$C$152:$C$199,"是")</f>
        <v/>
      </c>
      <c r="P318" s="340">
        <f>COUNTIFS($A$152:$A$199,$A318,$D$152:$D$199,"是")</f>
        <v/>
      </c>
      <c r="Q318" s="337">
        <f>IF(AND(Records!B212&lt;&gt;"",Records!D212&lt;&gt;"",ISNUMBER(Records!E212),Records!F212&lt;&gt;"",Records!G212&lt;&gt;"",Records!H212&lt;&gt;"",OR(AND(Records!B212="无明显偏好",OR(Records!C212="",Records!C212="N/A")),AND(Records!B212&lt;&gt;"无明显偏好",ISNUMBER(Records!C212),Records!C212&gt;=1,Records!C212&lt;=7))),"是","否")</f>
        <v/>
      </c>
      <c r="R318" s="336">
        <f>IF(Participants!W12="","",Participants!W12)</f>
        <v/>
      </c>
      <c r="S318" s="336">
        <f>IF(AND($B318="是",$C318="是"),IF(Participants!S12="","",Participants!S12),"")</f>
        <v/>
      </c>
      <c r="T318" s="336">
        <f>IF(AND($B318="是",$C318="是"),IF(Records!H212="","",Records!H212),"")</f>
        <v/>
      </c>
      <c r="U318" s="336">
        <f>IF($F318="是",Participants!C12,"")</f>
        <v/>
      </c>
      <c r="V318" s="336">
        <f>IF($F318="是",Participants!D12,"")</f>
        <v/>
      </c>
      <c r="W318" s="336">
        <f>IF($F318="是",Participants!I12,"")</f>
        <v/>
      </c>
      <c r="X318" s="336">
        <f>IF($F318="是",Participants!K12,"")</f>
        <v/>
      </c>
      <c r="Y318" s="337">
        <f>IF(OR(S318="",T318=""),"",IF(MATCH(T318,{"无","轻微","中等","明显","因不适中止"},0)&gt;MATCH(S318,{"无","轻微","中等","明显","因不适中止"},0),"Worsened",IF(MATCH(T318,{"无","轻微","中等","明显","因不适中止"},0)&lt;MATCH(S318,{"无","轻微","中等","明显","因不适中止"},0),"Improved","Unchanged")))</f>
        <v/>
      </c>
      <c r="Z318" s="337">
        <f>IF(AND(B318="",COUNTA(Participants!L12:X12)=0),"unused_slot",IF(B318&lt;&gt;"是","not_consented",IF(F318="是",IF(E318="是","included_complete","included_but_incomplete"),IF(F318="否",IF(R318="","excluded_reason_missing","excluded"),"pending_review"))))</f>
        <v/>
      </c>
    </row>
    <row r="319">
      <c r="A319" s="335">
        <f>Participants!A13</f>
        <v/>
      </c>
      <c r="B319" s="337">
        <f>IF(Participants!R13="","",Participants!R13)</f>
        <v/>
      </c>
      <c r="C319" s="337">
        <f>IF(Participants!T13&lt;&gt;"","是","否")</f>
        <v/>
      </c>
      <c r="D319" s="337">
        <f>IF(AND(Participants!T13&lt;&gt;"",Participants!U13&lt;&gt;""),"是","否")</f>
        <v/>
      </c>
      <c r="E319" s="337">
        <f>IF(AND(F319="是",N319=6,O319=2,P319=2,Q319="是"),"是","否")</f>
        <v/>
      </c>
      <c r="F319" s="337">
        <f>IF(Participants!V13="","",Participants!V13)</f>
        <v/>
      </c>
      <c r="G319" s="338">
        <f>IF($F319="是",IF(Participants!L13="","",Participants!L13),"")</f>
        <v/>
      </c>
      <c r="H319" s="336">
        <f>IF($F319="是",IF(Participants!M13="","",Participants!M13),"")</f>
        <v/>
      </c>
      <c r="I319" s="336">
        <f>IF($F319="是",IF(Participants!N13="","",Participants!N13),"")</f>
        <v/>
      </c>
      <c r="J319" s="336">
        <f>IF($F319="是",IF(Participants!O13="","",Participants!O13),"")</f>
        <v/>
      </c>
      <c r="K319" s="336">
        <f>IF($F319="是",IF(Participants!P13="","",Participants!P13),"")</f>
        <v/>
      </c>
      <c r="L319" s="336">
        <f>IF($F319="是",IF(Participants!Q13="","",Participants!Q13),"")</f>
        <v/>
      </c>
      <c r="M319" s="339">
        <f>IF(AND($F319="是",Participants!T13&lt;&gt;"",Participants!U13&lt;&gt;""),IFERROR(MOD(Participants!U13-Participants!T13,1)*1440,IFERROR(MOD(TIMEVALUE(Participants!U13)-TIMEVALUE(Participants!T13),1)*1440,"")),"")</f>
        <v/>
      </c>
      <c r="N319" s="338">
        <f>COUNTIFS($A$5:$A$148,$A319,$E$5:$E$148,"是")</f>
        <v/>
      </c>
      <c r="O319" s="340">
        <f>COUNTIFS($A$152:$A$199,$A319,$C$152:$C$199,"是")</f>
        <v/>
      </c>
      <c r="P319" s="340">
        <f>COUNTIFS($A$152:$A$199,$A319,$D$152:$D$199,"是")</f>
        <v/>
      </c>
      <c r="Q319" s="337">
        <f>IF(AND(Records!B213&lt;&gt;"",Records!D213&lt;&gt;"",ISNUMBER(Records!E213),Records!F213&lt;&gt;"",Records!G213&lt;&gt;"",Records!H213&lt;&gt;"",OR(AND(Records!B213="无明显偏好",OR(Records!C213="",Records!C213="N/A")),AND(Records!B213&lt;&gt;"无明显偏好",ISNUMBER(Records!C213),Records!C213&gt;=1,Records!C213&lt;=7))),"是","否")</f>
        <v/>
      </c>
      <c r="R319" s="336">
        <f>IF(Participants!W13="","",Participants!W13)</f>
        <v/>
      </c>
      <c r="S319" s="336">
        <f>IF(AND($B319="是",$C319="是"),IF(Participants!S13="","",Participants!S13),"")</f>
        <v/>
      </c>
      <c r="T319" s="336">
        <f>IF(AND($B319="是",$C319="是"),IF(Records!H213="","",Records!H213),"")</f>
        <v/>
      </c>
      <c r="U319" s="336">
        <f>IF($F319="是",Participants!C13,"")</f>
        <v/>
      </c>
      <c r="V319" s="336">
        <f>IF($F319="是",Participants!D13,"")</f>
        <v/>
      </c>
      <c r="W319" s="336">
        <f>IF($F319="是",Participants!I13,"")</f>
        <v/>
      </c>
      <c r="X319" s="336">
        <f>IF($F319="是",Participants!K13,"")</f>
        <v/>
      </c>
      <c r="Y319" s="337">
        <f>IF(OR(S319="",T319=""),"",IF(MATCH(T319,{"无","轻微","中等","明显","因不适中止"},0)&gt;MATCH(S319,{"无","轻微","中等","明显","因不适中止"},0),"Worsened",IF(MATCH(T319,{"无","轻微","中等","明显","因不适中止"},0)&lt;MATCH(S319,{"无","轻微","中等","明显","因不适中止"},0),"Improved","Unchanged")))</f>
        <v/>
      </c>
      <c r="Z319" s="337">
        <f>IF(AND(B319="",COUNTA(Participants!L13:X13)=0),"unused_slot",IF(B319&lt;&gt;"是","not_consented",IF(F319="是",IF(E319="是","included_complete","included_but_incomplete"),IF(F319="否",IF(R319="","excluded_reason_missing","excluded"),"pending_review"))))</f>
        <v/>
      </c>
    </row>
    <row r="320">
      <c r="A320" s="335">
        <f>Participants!A14</f>
        <v/>
      </c>
      <c r="B320" s="337">
        <f>IF(Participants!R14="","",Participants!R14)</f>
        <v/>
      </c>
      <c r="C320" s="337">
        <f>IF(Participants!T14&lt;&gt;"","是","否")</f>
        <v/>
      </c>
      <c r="D320" s="337">
        <f>IF(AND(Participants!T14&lt;&gt;"",Participants!U14&lt;&gt;""),"是","否")</f>
        <v/>
      </c>
      <c r="E320" s="337">
        <f>IF(AND(F320="是",N320=6,O320=2,P320=2,Q320="是"),"是","否")</f>
        <v/>
      </c>
      <c r="F320" s="337">
        <f>IF(Participants!V14="","",Participants!V14)</f>
        <v/>
      </c>
      <c r="G320" s="338">
        <f>IF($F320="是",IF(Participants!L14="","",Participants!L14),"")</f>
        <v/>
      </c>
      <c r="H320" s="336">
        <f>IF($F320="是",IF(Participants!M14="","",Participants!M14),"")</f>
        <v/>
      </c>
      <c r="I320" s="336">
        <f>IF($F320="是",IF(Participants!N14="","",Participants!N14),"")</f>
        <v/>
      </c>
      <c r="J320" s="336">
        <f>IF($F320="是",IF(Participants!O14="","",Participants!O14),"")</f>
        <v/>
      </c>
      <c r="K320" s="336">
        <f>IF($F320="是",IF(Participants!P14="","",Participants!P14),"")</f>
        <v/>
      </c>
      <c r="L320" s="336">
        <f>IF($F320="是",IF(Participants!Q14="","",Participants!Q14),"")</f>
        <v/>
      </c>
      <c r="M320" s="339">
        <f>IF(AND($F320="是",Participants!T14&lt;&gt;"",Participants!U14&lt;&gt;""),IFERROR(MOD(Participants!U14-Participants!T14,1)*1440,IFERROR(MOD(TIMEVALUE(Participants!U14)-TIMEVALUE(Participants!T14),1)*1440,"")),"")</f>
        <v/>
      </c>
      <c r="N320" s="338">
        <f>COUNTIFS($A$5:$A$148,$A320,$E$5:$E$148,"是")</f>
        <v/>
      </c>
      <c r="O320" s="340">
        <f>COUNTIFS($A$152:$A$199,$A320,$C$152:$C$199,"是")</f>
        <v/>
      </c>
      <c r="P320" s="340">
        <f>COUNTIFS($A$152:$A$199,$A320,$D$152:$D$199,"是")</f>
        <v/>
      </c>
      <c r="Q320" s="337">
        <f>IF(AND(Records!B214&lt;&gt;"",Records!D214&lt;&gt;"",ISNUMBER(Records!E214),Records!F214&lt;&gt;"",Records!G214&lt;&gt;"",Records!H214&lt;&gt;"",OR(AND(Records!B214="无明显偏好",OR(Records!C214="",Records!C214="N/A")),AND(Records!B214&lt;&gt;"无明显偏好",ISNUMBER(Records!C214),Records!C214&gt;=1,Records!C214&lt;=7))),"是","否")</f>
        <v/>
      </c>
      <c r="R320" s="336">
        <f>IF(Participants!W14="","",Participants!W14)</f>
        <v/>
      </c>
      <c r="S320" s="336">
        <f>IF(AND($B320="是",$C320="是"),IF(Participants!S14="","",Participants!S14),"")</f>
        <v/>
      </c>
      <c r="T320" s="336">
        <f>IF(AND($B320="是",$C320="是"),IF(Records!H214="","",Records!H214),"")</f>
        <v/>
      </c>
      <c r="U320" s="336">
        <f>IF($F320="是",Participants!C14,"")</f>
        <v/>
      </c>
      <c r="V320" s="336">
        <f>IF($F320="是",Participants!D14,"")</f>
        <v/>
      </c>
      <c r="W320" s="336">
        <f>IF($F320="是",Participants!I14,"")</f>
        <v/>
      </c>
      <c r="X320" s="336">
        <f>IF($F320="是",Participants!K14,"")</f>
        <v/>
      </c>
      <c r="Y320" s="337">
        <f>IF(OR(S320="",T320=""),"",IF(MATCH(T320,{"无","轻微","中等","明显","因不适中止"},0)&gt;MATCH(S320,{"无","轻微","中等","明显","因不适中止"},0),"Worsened",IF(MATCH(T320,{"无","轻微","中等","明显","因不适中止"},0)&lt;MATCH(S320,{"无","轻微","中等","明显","因不适中止"},0),"Improved","Unchanged")))</f>
        <v/>
      </c>
      <c r="Z320" s="337">
        <f>IF(AND(B320="",COUNTA(Participants!L14:X14)=0),"unused_slot",IF(B320&lt;&gt;"是","not_consented",IF(F320="是",IF(E320="是","included_complete","included_but_incomplete"),IF(F320="否",IF(R320="","excluded_reason_missing","excluded"),"pending_review"))))</f>
        <v/>
      </c>
    </row>
    <row r="321">
      <c r="A321" s="335">
        <f>Participants!A15</f>
        <v/>
      </c>
      <c r="B321" s="337">
        <f>IF(Participants!R15="","",Participants!R15)</f>
        <v/>
      </c>
      <c r="C321" s="337">
        <f>IF(Participants!T15&lt;&gt;"","是","否")</f>
        <v/>
      </c>
      <c r="D321" s="337">
        <f>IF(AND(Participants!T15&lt;&gt;"",Participants!U15&lt;&gt;""),"是","否")</f>
        <v/>
      </c>
      <c r="E321" s="337">
        <f>IF(AND(F321="是",N321=6,O321=2,P321=2,Q321="是"),"是","否")</f>
        <v/>
      </c>
      <c r="F321" s="337">
        <f>IF(Participants!V15="","",Participants!V15)</f>
        <v/>
      </c>
      <c r="G321" s="338">
        <f>IF($F321="是",IF(Participants!L15="","",Participants!L15),"")</f>
        <v/>
      </c>
      <c r="H321" s="336">
        <f>IF($F321="是",IF(Participants!M15="","",Participants!M15),"")</f>
        <v/>
      </c>
      <c r="I321" s="336">
        <f>IF($F321="是",IF(Participants!N15="","",Participants!N15),"")</f>
        <v/>
      </c>
      <c r="J321" s="336">
        <f>IF($F321="是",IF(Participants!O15="","",Participants!O15),"")</f>
        <v/>
      </c>
      <c r="K321" s="336">
        <f>IF($F321="是",IF(Participants!P15="","",Participants!P15),"")</f>
        <v/>
      </c>
      <c r="L321" s="336">
        <f>IF($F321="是",IF(Participants!Q15="","",Participants!Q15),"")</f>
        <v/>
      </c>
      <c r="M321" s="339">
        <f>IF(AND($F321="是",Participants!T15&lt;&gt;"",Participants!U15&lt;&gt;""),IFERROR(MOD(Participants!U15-Participants!T15,1)*1440,IFERROR(MOD(TIMEVALUE(Participants!U15)-TIMEVALUE(Participants!T15),1)*1440,"")),"")</f>
        <v/>
      </c>
      <c r="N321" s="338">
        <f>COUNTIFS($A$5:$A$148,$A321,$E$5:$E$148,"是")</f>
        <v/>
      </c>
      <c r="O321" s="340">
        <f>COUNTIFS($A$152:$A$199,$A321,$C$152:$C$199,"是")</f>
        <v/>
      </c>
      <c r="P321" s="340">
        <f>COUNTIFS($A$152:$A$199,$A321,$D$152:$D$199,"是")</f>
        <v/>
      </c>
      <c r="Q321" s="337">
        <f>IF(AND(Records!B215&lt;&gt;"",Records!D215&lt;&gt;"",ISNUMBER(Records!E215),Records!F215&lt;&gt;"",Records!G215&lt;&gt;"",Records!H215&lt;&gt;"",OR(AND(Records!B215="无明显偏好",OR(Records!C215="",Records!C215="N/A")),AND(Records!B215&lt;&gt;"无明显偏好",ISNUMBER(Records!C215),Records!C215&gt;=1,Records!C215&lt;=7))),"是","否")</f>
        <v/>
      </c>
      <c r="R321" s="336">
        <f>IF(Participants!W15="","",Participants!W15)</f>
        <v/>
      </c>
      <c r="S321" s="336">
        <f>IF(AND($B321="是",$C321="是"),IF(Participants!S15="","",Participants!S15),"")</f>
        <v/>
      </c>
      <c r="T321" s="336">
        <f>IF(AND($B321="是",$C321="是"),IF(Records!H215="","",Records!H215),"")</f>
        <v/>
      </c>
      <c r="U321" s="336">
        <f>IF($F321="是",Participants!C15,"")</f>
        <v/>
      </c>
      <c r="V321" s="336">
        <f>IF($F321="是",Participants!D15,"")</f>
        <v/>
      </c>
      <c r="W321" s="336">
        <f>IF($F321="是",Participants!I15,"")</f>
        <v/>
      </c>
      <c r="X321" s="336">
        <f>IF($F321="是",Participants!K15,"")</f>
        <v/>
      </c>
      <c r="Y321" s="337">
        <f>IF(OR(S321="",T321=""),"",IF(MATCH(T321,{"无","轻微","中等","明显","因不适中止"},0)&gt;MATCH(S321,{"无","轻微","中等","明显","因不适中止"},0),"Worsened",IF(MATCH(T321,{"无","轻微","中等","明显","因不适中止"},0)&lt;MATCH(S321,{"无","轻微","中等","明显","因不适中止"},0),"Improved","Unchanged")))</f>
        <v/>
      </c>
      <c r="Z321" s="337">
        <f>IF(AND(B321="",COUNTA(Participants!L15:X15)=0),"unused_slot",IF(B321&lt;&gt;"是","not_consented",IF(F321="是",IF(E321="是","included_complete","included_but_incomplete"),IF(F321="否",IF(R321="","excluded_reason_missing","excluded"),"pending_review"))))</f>
        <v/>
      </c>
    </row>
    <row r="322">
      <c r="A322" s="335">
        <f>Participants!A16</f>
        <v/>
      </c>
      <c r="B322" s="337">
        <f>IF(Participants!R16="","",Participants!R16)</f>
        <v/>
      </c>
      <c r="C322" s="337">
        <f>IF(Participants!T16&lt;&gt;"","是","否")</f>
        <v/>
      </c>
      <c r="D322" s="337">
        <f>IF(AND(Participants!T16&lt;&gt;"",Participants!U16&lt;&gt;""),"是","否")</f>
        <v/>
      </c>
      <c r="E322" s="337">
        <f>IF(AND(F322="是",N322=6,O322=2,P322=2,Q322="是"),"是","否")</f>
        <v/>
      </c>
      <c r="F322" s="337">
        <f>IF(Participants!V16="","",Participants!V16)</f>
        <v/>
      </c>
      <c r="G322" s="338">
        <f>IF($F322="是",IF(Participants!L16="","",Participants!L16),"")</f>
        <v/>
      </c>
      <c r="H322" s="336">
        <f>IF($F322="是",IF(Participants!M16="","",Participants!M16),"")</f>
        <v/>
      </c>
      <c r="I322" s="336">
        <f>IF($F322="是",IF(Participants!N16="","",Participants!N16),"")</f>
        <v/>
      </c>
      <c r="J322" s="336">
        <f>IF($F322="是",IF(Participants!O16="","",Participants!O16),"")</f>
        <v/>
      </c>
      <c r="K322" s="336">
        <f>IF($F322="是",IF(Participants!P16="","",Participants!P16),"")</f>
        <v/>
      </c>
      <c r="L322" s="336">
        <f>IF($F322="是",IF(Participants!Q16="","",Participants!Q16),"")</f>
        <v/>
      </c>
      <c r="M322" s="339">
        <f>IF(AND($F322="是",Participants!T16&lt;&gt;"",Participants!U16&lt;&gt;""),IFERROR(MOD(Participants!U16-Participants!T16,1)*1440,IFERROR(MOD(TIMEVALUE(Participants!U16)-TIMEVALUE(Participants!T16),1)*1440,"")),"")</f>
        <v/>
      </c>
      <c r="N322" s="338">
        <f>COUNTIFS($A$5:$A$148,$A322,$E$5:$E$148,"是")</f>
        <v/>
      </c>
      <c r="O322" s="340">
        <f>COUNTIFS($A$152:$A$199,$A322,$C$152:$C$199,"是")</f>
        <v/>
      </c>
      <c r="P322" s="340">
        <f>COUNTIFS($A$152:$A$199,$A322,$D$152:$D$199,"是")</f>
        <v/>
      </c>
      <c r="Q322" s="337">
        <f>IF(AND(Records!B216&lt;&gt;"",Records!D216&lt;&gt;"",ISNUMBER(Records!E216),Records!F216&lt;&gt;"",Records!G216&lt;&gt;"",Records!H216&lt;&gt;"",OR(AND(Records!B216="无明显偏好",OR(Records!C216="",Records!C216="N/A")),AND(Records!B216&lt;&gt;"无明显偏好",ISNUMBER(Records!C216),Records!C216&gt;=1,Records!C216&lt;=7))),"是","否")</f>
        <v/>
      </c>
      <c r="R322" s="336">
        <f>IF(Participants!W16="","",Participants!W16)</f>
        <v/>
      </c>
      <c r="S322" s="336">
        <f>IF(AND($B322="是",$C322="是"),IF(Participants!S16="","",Participants!S16),"")</f>
        <v/>
      </c>
      <c r="T322" s="336">
        <f>IF(AND($B322="是",$C322="是"),IF(Records!H216="","",Records!H216),"")</f>
        <v/>
      </c>
      <c r="U322" s="336">
        <f>IF($F322="是",Participants!C16,"")</f>
        <v/>
      </c>
      <c r="V322" s="336">
        <f>IF($F322="是",Participants!D16,"")</f>
        <v/>
      </c>
      <c r="W322" s="336">
        <f>IF($F322="是",Participants!I16,"")</f>
        <v/>
      </c>
      <c r="X322" s="336">
        <f>IF($F322="是",Participants!K16,"")</f>
        <v/>
      </c>
      <c r="Y322" s="337">
        <f>IF(OR(S322="",T322=""),"",IF(MATCH(T322,{"无","轻微","中等","明显","因不适中止"},0)&gt;MATCH(S322,{"无","轻微","中等","明显","因不适中止"},0),"Worsened",IF(MATCH(T322,{"无","轻微","中等","明显","因不适中止"},0)&lt;MATCH(S322,{"无","轻微","中等","明显","因不适中止"},0),"Improved","Unchanged")))</f>
        <v/>
      </c>
      <c r="Z322" s="337">
        <f>IF(AND(B322="",COUNTA(Participants!L16:X16)=0),"unused_slot",IF(B322&lt;&gt;"是","not_consented",IF(F322="是",IF(E322="是","included_complete","included_but_incomplete"),IF(F322="否",IF(R322="","excluded_reason_missing","excluded"),"pending_review"))))</f>
        <v/>
      </c>
    </row>
    <row r="323">
      <c r="A323" s="335">
        <f>Participants!A17</f>
        <v/>
      </c>
      <c r="B323" s="337">
        <f>IF(Participants!R17="","",Participants!R17)</f>
        <v/>
      </c>
      <c r="C323" s="337">
        <f>IF(Participants!T17&lt;&gt;"","是","否")</f>
        <v/>
      </c>
      <c r="D323" s="337">
        <f>IF(AND(Participants!T17&lt;&gt;"",Participants!U17&lt;&gt;""),"是","否")</f>
        <v/>
      </c>
      <c r="E323" s="337">
        <f>IF(AND(F323="是",N323=6,O323=2,P323=2,Q323="是"),"是","否")</f>
        <v/>
      </c>
      <c r="F323" s="337">
        <f>IF(Participants!V17="","",Participants!V17)</f>
        <v/>
      </c>
      <c r="G323" s="338">
        <f>IF($F323="是",IF(Participants!L17="","",Participants!L17),"")</f>
        <v/>
      </c>
      <c r="H323" s="336">
        <f>IF($F323="是",IF(Participants!M17="","",Participants!M17),"")</f>
        <v/>
      </c>
      <c r="I323" s="336">
        <f>IF($F323="是",IF(Participants!N17="","",Participants!N17),"")</f>
        <v/>
      </c>
      <c r="J323" s="336">
        <f>IF($F323="是",IF(Participants!O17="","",Participants!O17),"")</f>
        <v/>
      </c>
      <c r="K323" s="336">
        <f>IF($F323="是",IF(Participants!P17="","",Participants!P17),"")</f>
        <v/>
      </c>
      <c r="L323" s="336">
        <f>IF($F323="是",IF(Participants!Q17="","",Participants!Q17),"")</f>
        <v/>
      </c>
      <c r="M323" s="339">
        <f>IF(AND($F323="是",Participants!T17&lt;&gt;"",Participants!U17&lt;&gt;""),IFERROR(MOD(Participants!U17-Participants!T17,1)*1440,IFERROR(MOD(TIMEVALUE(Participants!U17)-TIMEVALUE(Participants!T17),1)*1440,"")),"")</f>
        <v/>
      </c>
      <c r="N323" s="338">
        <f>COUNTIFS($A$5:$A$148,$A323,$E$5:$E$148,"是")</f>
        <v/>
      </c>
      <c r="O323" s="340">
        <f>COUNTIFS($A$152:$A$199,$A323,$C$152:$C$199,"是")</f>
        <v/>
      </c>
      <c r="P323" s="340">
        <f>COUNTIFS($A$152:$A$199,$A323,$D$152:$D$199,"是")</f>
        <v/>
      </c>
      <c r="Q323" s="337">
        <f>IF(AND(Records!B217&lt;&gt;"",Records!D217&lt;&gt;"",ISNUMBER(Records!E217),Records!F217&lt;&gt;"",Records!G217&lt;&gt;"",Records!H217&lt;&gt;"",OR(AND(Records!B217="无明显偏好",OR(Records!C217="",Records!C217="N/A")),AND(Records!B217&lt;&gt;"无明显偏好",ISNUMBER(Records!C217),Records!C217&gt;=1,Records!C217&lt;=7))),"是","否")</f>
        <v/>
      </c>
      <c r="R323" s="336">
        <f>IF(Participants!W17="","",Participants!W17)</f>
        <v/>
      </c>
      <c r="S323" s="336">
        <f>IF(AND($B323="是",$C323="是"),IF(Participants!S17="","",Participants!S17),"")</f>
        <v/>
      </c>
      <c r="T323" s="336">
        <f>IF(AND($B323="是",$C323="是"),IF(Records!H217="","",Records!H217),"")</f>
        <v/>
      </c>
      <c r="U323" s="336">
        <f>IF($F323="是",Participants!C17,"")</f>
        <v/>
      </c>
      <c r="V323" s="336">
        <f>IF($F323="是",Participants!D17,"")</f>
        <v/>
      </c>
      <c r="W323" s="336">
        <f>IF($F323="是",Participants!I17,"")</f>
        <v/>
      </c>
      <c r="X323" s="336">
        <f>IF($F323="是",Participants!K17,"")</f>
        <v/>
      </c>
      <c r="Y323" s="337">
        <f>IF(OR(S323="",T323=""),"",IF(MATCH(T323,{"无","轻微","中等","明显","因不适中止"},0)&gt;MATCH(S323,{"无","轻微","中等","明显","因不适中止"},0),"Worsened",IF(MATCH(T323,{"无","轻微","中等","明显","因不适中止"},0)&lt;MATCH(S323,{"无","轻微","中等","明显","因不适中止"},0),"Improved","Unchanged")))</f>
        <v/>
      </c>
      <c r="Z323" s="337">
        <f>IF(AND(B323="",COUNTA(Participants!L17:X17)=0),"unused_slot",IF(B323&lt;&gt;"是","not_consented",IF(F323="是",IF(E323="是","included_complete","included_but_incomplete"),IF(F323="否",IF(R323="","excluded_reason_missing","excluded"),"pending_review"))))</f>
        <v/>
      </c>
    </row>
    <row r="324">
      <c r="A324" s="335">
        <f>Participants!A18</f>
        <v/>
      </c>
      <c r="B324" s="337">
        <f>IF(Participants!R18="","",Participants!R18)</f>
        <v/>
      </c>
      <c r="C324" s="337">
        <f>IF(Participants!T18&lt;&gt;"","是","否")</f>
        <v/>
      </c>
      <c r="D324" s="337">
        <f>IF(AND(Participants!T18&lt;&gt;"",Participants!U18&lt;&gt;""),"是","否")</f>
        <v/>
      </c>
      <c r="E324" s="337">
        <f>IF(AND(F324="是",N324=6,O324=2,P324=2,Q324="是"),"是","否")</f>
        <v/>
      </c>
      <c r="F324" s="337">
        <f>IF(Participants!V18="","",Participants!V18)</f>
        <v/>
      </c>
      <c r="G324" s="338">
        <f>IF($F324="是",IF(Participants!L18="","",Participants!L18),"")</f>
        <v/>
      </c>
      <c r="H324" s="336">
        <f>IF($F324="是",IF(Participants!M18="","",Participants!M18),"")</f>
        <v/>
      </c>
      <c r="I324" s="336">
        <f>IF($F324="是",IF(Participants!N18="","",Participants!N18),"")</f>
        <v/>
      </c>
      <c r="J324" s="336">
        <f>IF($F324="是",IF(Participants!O18="","",Participants!O18),"")</f>
        <v/>
      </c>
      <c r="K324" s="336">
        <f>IF($F324="是",IF(Participants!P18="","",Participants!P18),"")</f>
        <v/>
      </c>
      <c r="L324" s="336">
        <f>IF($F324="是",IF(Participants!Q18="","",Participants!Q18),"")</f>
        <v/>
      </c>
      <c r="M324" s="339">
        <f>IF(AND($F324="是",Participants!T18&lt;&gt;"",Participants!U18&lt;&gt;""),IFERROR(MOD(Participants!U18-Participants!T18,1)*1440,IFERROR(MOD(TIMEVALUE(Participants!U18)-TIMEVALUE(Participants!T18),1)*1440,"")),"")</f>
        <v/>
      </c>
      <c r="N324" s="338">
        <f>COUNTIFS($A$5:$A$148,$A324,$E$5:$E$148,"是")</f>
        <v/>
      </c>
      <c r="O324" s="340">
        <f>COUNTIFS($A$152:$A$199,$A324,$C$152:$C$199,"是")</f>
        <v/>
      </c>
      <c r="P324" s="340">
        <f>COUNTIFS($A$152:$A$199,$A324,$D$152:$D$199,"是")</f>
        <v/>
      </c>
      <c r="Q324" s="337">
        <f>IF(AND(Records!B218&lt;&gt;"",Records!D218&lt;&gt;"",ISNUMBER(Records!E218),Records!F218&lt;&gt;"",Records!G218&lt;&gt;"",Records!H218&lt;&gt;"",OR(AND(Records!B218="无明显偏好",OR(Records!C218="",Records!C218="N/A")),AND(Records!B218&lt;&gt;"无明显偏好",ISNUMBER(Records!C218),Records!C218&gt;=1,Records!C218&lt;=7))),"是","否")</f>
        <v/>
      </c>
      <c r="R324" s="336">
        <f>IF(Participants!W18="","",Participants!W18)</f>
        <v/>
      </c>
      <c r="S324" s="336">
        <f>IF(AND($B324="是",$C324="是"),IF(Participants!S18="","",Participants!S18),"")</f>
        <v/>
      </c>
      <c r="T324" s="336">
        <f>IF(AND($B324="是",$C324="是"),IF(Records!H218="","",Records!H218),"")</f>
        <v/>
      </c>
      <c r="U324" s="336">
        <f>IF($F324="是",Participants!C18,"")</f>
        <v/>
      </c>
      <c r="V324" s="336">
        <f>IF($F324="是",Participants!D18,"")</f>
        <v/>
      </c>
      <c r="W324" s="336">
        <f>IF($F324="是",Participants!I18,"")</f>
        <v/>
      </c>
      <c r="X324" s="336">
        <f>IF($F324="是",Participants!K18,"")</f>
        <v/>
      </c>
      <c r="Y324" s="337">
        <f>IF(OR(S324="",T324=""),"",IF(MATCH(T324,{"无","轻微","中等","明显","因不适中止"},0)&gt;MATCH(S324,{"无","轻微","中等","明显","因不适中止"},0),"Worsened",IF(MATCH(T324,{"无","轻微","中等","明显","因不适中止"},0)&lt;MATCH(S324,{"无","轻微","中等","明显","因不适中止"},0),"Improved","Unchanged")))</f>
        <v/>
      </c>
      <c r="Z324" s="337">
        <f>IF(AND(B324="",COUNTA(Participants!L18:X18)=0),"unused_slot",IF(B324&lt;&gt;"是","not_consented",IF(F324="是",IF(E324="是","included_complete","included_but_incomplete"),IF(F324="否",IF(R324="","excluded_reason_missing","excluded"),"pending_review"))))</f>
        <v/>
      </c>
    </row>
    <row r="325">
      <c r="A325" s="335">
        <f>Participants!A19</f>
        <v/>
      </c>
      <c r="B325" s="337">
        <f>IF(Participants!R19="","",Participants!R19)</f>
        <v/>
      </c>
      <c r="C325" s="337">
        <f>IF(Participants!T19&lt;&gt;"","是","否")</f>
        <v/>
      </c>
      <c r="D325" s="337">
        <f>IF(AND(Participants!T19&lt;&gt;"",Participants!U19&lt;&gt;""),"是","否")</f>
        <v/>
      </c>
      <c r="E325" s="337">
        <f>IF(AND(F325="是",N325=6,O325=2,P325=2,Q325="是"),"是","否")</f>
        <v/>
      </c>
      <c r="F325" s="337">
        <f>IF(Participants!V19="","",Participants!V19)</f>
        <v/>
      </c>
      <c r="G325" s="338">
        <f>IF($F325="是",IF(Participants!L19="","",Participants!L19),"")</f>
        <v/>
      </c>
      <c r="H325" s="336">
        <f>IF($F325="是",IF(Participants!M19="","",Participants!M19),"")</f>
        <v/>
      </c>
      <c r="I325" s="336">
        <f>IF($F325="是",IF(Participants!N19="","",Participants!N19),"")</f>
        <v/>
      </c>
      <c r="J325" s="336">
        <f>IF($F325="是",IF(Participants!O19="","",Participants!O19),"")</f>
        <v/>
      </c>
      <c r="K325" s="336">
        <f>IF($F325="是",IF(Participants!P19="","",Participants!P19),"")</f>
        <v/>
      </c>
      <c r="L325" s="336">
        <f>IF($F325="是",IF(Participants!Q19="","",Participants!Q19),"")</f>
        <v/>
      </c>
      <c r="M325" s="339">
        <f>IF(AND($F325="是",Participants!T19&lt;&gt;"",Participants!U19&lt;&gt;""),IFERROR(MOD(Participants!U19-Participants!T19,1)*1440,IFERROR(MOD(TIMEVALUE(Participants!U19)-TIMEVALUE(Participants!T19),1)*1440,"")),"")</f>
        <v/>
      </c>
      <c r="N325" s="338">
        <f>COUNTIFS($A$5:$A$148,$A325,$E$5:$E$148,"是")</f>
        <v/>
      </c>
      <c r="O325" s="340">
        <f>COUNTIFS($A$152:$A$199,$A325,$C$152:$C$199,"是")</f>
        <v/>
      </c>
      <c r="P325" s="340">
        <f>COUNTIFS($A$152:$A$199,$A325,$D$152:$D$199,"是")</f>
        <v/>
      </c>
      <c r="Q325" s="337">
        <f>IF(AND(Records!B219&lt;&gt;"",Records!D219&lt;&gt;"",ISNUMBER(Records!E219),Records!F219&lt;&gt;"",Records!G219&lt;&gt;"",Records!H219&lt;&gt;"",OR(AND(Records!B219="无明显偏好",OR(Records!C219="",Records!C219="N/A")),AND(Records!B219&lt;&gt;"无明显偏好",ISNUMBER(Records!C219),Records!C219&gt;=1,Records!C219&lt;=7))),"是","否")</f>
        <v/>
      </c>
      <c r="R325" s="336">
        <f>IF(Participants!W19="","",Participants!W19)</f>
        <v/>
      </c>
      <c r="S325" s="336">
        <f>IF(AND($B325="是",$C325="是"),IF(Participants!S19="","",Participants!S19),"")</f>
        <v/>
      </c>
      <c r="T325" s="336">
        <f>IF(AND($B325="是",$C325="是"),IF(Records!H219="","",Records!H219),"")</f>
        <v/>
      </c>
      <c r="U325" s="336">
        <f>IF($F325="是",Participants!C19,"")</f>
        <v/>
      </c>
      <c r="V325" s="336">
        <f>IF($F325="是",Participants!D19,"")</f>
        <v/>
      </c>
      <c r="W325" s="336">
        <f>IF($F325="是",Participants!I19,"")</f>
        <v/>
      </c>
      <c r="X325" s="336">
        <f>IF($F325="是",Participants!K19,"")</f>
        <v/>
      </c>
      <c r="Y325" s="337">
        <f>IF(OR(S325="",T325=""),"",IF(MATCH(T325,{"无","轻微","中等","明显","因不适中止"},0)&gt;MATCH(S325,{"无","轻微","中等","明显","因不适中止"},0),"Worsened",IF(MATCH(T325,{"无","轻微","中等","明显","因不适中止"},0)&lt;MATCH(S325,{"无","轻微","中等","明显","因不适中止"},0),"Improved","Unchanged")))</f>
        <v/>
      </c>
      <c r="Z325" s="337">
        <f>IF(AND(B325="",COUNTA(Participants!L19:X19)=0),"unused_slot",IF(B325&lt;&gt;"是","not_consented",IF(F325="是",IF(E325="是","included_complete","included_but_incomplete"),IF(F325="否",IF(R325="","excluded_reason_missing","excluded"),"pending_review"))))</f>
        <v/>
      </c>
    </row>
    <row r="326">
      <c r="A326" s="335">
        <f>Participants!A20</f>
        <v/>
      </c>
      <c r="B326" s="337">
        <f>IF(Participants!R20="","",Participants!R20)</f>
        <v/>
      </c>
      <c r="C326" s="337">
        <f>IF(Participants!T20&lt;&gt;"","是","否")</f>
        <v/>
      </c>
      <c r="D326" s="337">
        <f>IF(AND(Participants!T20&lt;&gt;"",Participants!U20&lt;&gt;""),"是","否")</f>
        <v/>
      </c>
      <c r="E326" s="337">
        <f>IF(AND(F326="是",N326=6,O326=2,P326=2,Q326="是"),"是","否")</f>
        <v/>
      </c>
      <c r="F326" s="337">
        <f>IF(Participants!V20="","",Participants!V20)</f>
        <v/>
      </c>
      <c r="G326" s="338">
        <f>IF($F326="是",IF(Participants!L20="","",Participants!L20),"")</f>
        <v/>
      </c>
      <c r="H326" s="336">
        <f>IF($F326="是",IF(Participants!M20="","",Participants!M20),"")</f>
        <v/>
      </c>
      <c r="I326" s="336">
        <f>IF($F326="是",IF(Participants!N20="","",Participants!N20),"")</f>
        <v/>
      </c>
      <c r="J326" s="336">
        <f>IF($F326="是",IF(Participants!O20="","",Participants!O20),"")</f>
        <v/>
      </c>
      <c r="K326" s="336">
        <f>IF($F326="是",IF(Participants!P20="","",Participants!P20),"")</f>
        <v/>
      </c>
      <c r="L326" s="336">
        <f>IF($F326="是",IF(Participants!Q20="","",Participants!Q20),"")</f>
        <v/>
      </c>
      <c r="M326" s="339">
        <f>IF(AND($F326="是",Participants!T20&lt;&gt;"",Participants!U20&lt;&gt;""),IFERROR(MOD(Participants!U20-Participants!T20,1)*1440,IFERROR(MOD(TIMEVALUE(Participants!U20)-TIMEVALUE(Participants!T20),1)*1440,"")),"")</f>
        <v/>
      </c>
      <c r="N326" s="338">
        <f>COUNTIFS($A$5:$A$148,$A326,$E$5:$E$148,"是")</f>
        <v/>
      </c>
      <c r="O326" s="340">
        <f>COUNTIFS($A$152:$A$199,$A326,$C$152:$C$199,"是")</f>
        <v/>
      </c>
      <c r="P326" s="340">
        <f>COUNTIFS($A$152:$A$199,$A326,$D$152:$D$199,"是")</f>
        <v/>
      </c>
      <c r="Q326" s="337">
        <f>IF(AND(Records!B220&lt;&gt;"",Records!D220&lt;&gt;"",ISNUMBER(Records!E220),Records!F220&lt;&gt;"",Records!G220&lt;&gt;"",Records!H220&lt;&gt;"",OR(AND(Records!B220="无明显偏好",OR(Records!C220="",Records!C220="N/A")),AND(Records!B220&lt;&gt;"无明显偏好",ISNUMBER(Records!C220),Records!C220&gt;=1,Records!C220&lt;=7))),"是","否")</f>
        <v/>
      </c>
      <c r="R326" s="336">
        <f>IF(Participants!W20="","",Participants!W20)</f>
        <v/>
      </c>
      <c r="S326" s="336">
        <f>IF(AND($B326="是",$C326="是"),IF(Participants!S20="","",Participants!S20),"")</f>
        <v/>
      </c>
      <c r="T326" s="336">
        <f>IF(AND($B326="是",$C326="是"),IF(Records!H220="","",Records!H220),"")</f>
        <v/>
      </c>
      <c r="U326" s="336">
        <f>IF($F326="是",Participants!C20,"")</f>
        <v/>
      </c>
      <c r="V326" s="336">
        <f>IF($F326="是",Participants!D20,"")</f>
        <v/>
      </c>
      <c r="W326" s="336">
        <f>IF($F326="是",Participants!I20,"")</f>
        <v/>
      </c>
      <c r="X326" s="336">
        <f>IF($F326="是",Participants!K20,"")</f>
        <v/>
      </c>
      <c r="Y326" s="337">
        <f>IF(OR(S326="",T326=""),"",IF(MATCH(T326,{"无","轻微","中等","明显","因不适中止"},0)&gt;MATCH(S326,{"无","轻微","中等","明显","因不适中止"},0),"Worsened",IF(MATCH(T326,{"无","轻微","中等","明显","因不适中止"},0)&lt;MATCH(S326,{"无","轻微","中等","明显","因不适中止"},0),"Improved","Unchanged")))</f>
        <v/>
      </c>
      <c r="Z326" s="337">
        <f>IF(AND(B326="",COUNTA(Participants!L20:X20)=0),"unused_slot",IF(B326&lt;&gt;"是","not_consented",IF(F326="是",IF(E326="是","included_complete","included_but_incomplete"),IF(F326="否",IF(R326="","excluded_reason_missing","excluded"),"pending_review"))))</f>
        <v/>
      </c>
    </row>
    <row r="327">
      <c r="A327" s="335">
        <f>Participants!A21</f>
        <v/>
      </c>
      <c r="B327" s="337">
        <f>IF(Participants!R21="","",Participants!R21)</f>
        <v/>
      </c>
      <c r="C327" s="337">
        <f>IF(Participants!T21&lt;&gt;"","是","否")</f>
        <v/>
      </c>
      <c r="D327" s="337">
        <f>IF(AND(Participants!T21&lt;&gt;"",Participants!U21&lt;&gt;""),"是","否")</f>
        <v/>
      </c>
      <c r="E327" s="337">
        <f>IF(AND(F327="是",N327=6,O327=2,P327=2,Q327="是"),"是","否")</f>
        <v/>
      </c>
      <c r="F327" s="337">
        <f>IF(Participants!V21="","",Participants!V21)</f>
        <v/>
      </c>
      <c r="G327" s="338">
        <f>IF($F327="是",IF(Participants!L21="","",Participants!L21),"")</f>
        <v/>
      </c>
      <c r="H327" s="336">
        <f>IF($F327="是",IF(Participants!M21="","",Participants!M21),"")</f>
        <v/>
      </c>
      <c r="I327" s="336">
        <f>IF($F327="是",IF(Participants!N21="","",Participants!N21),"")</f>
        <v/>
      </c>
      <c r="J327" s="336">
        <f>IF($F327="是",IF(Participants!O21="","",Participants!O21),"")</f>
        <v/>
      </c>
      <c r="K327" s="336">
        <f>IF($F327="是",IF(Participants!P21="","",Participants!P21),"")</f>
        <v/>
      </c>
      <c r="L327" s="336">
        <f>IF($F327="是",IF(Participants!Q21="","",Participants!Q21),"")</f>
        <v/>
      </c>
      <c r="M327" s="339">
        <f>IF(AND($F327="是",Participants!T21&lt;&gt;"",Participants!U21&lt;&gt;""),IFERROR(MOD(Participants!U21-Participants!T21,1)*1440,IFERROR(MOD(TIMEVALUE(Participants!U21)-TIMEVALUE(Participants!T21),1)*1440,"")),"")</f>
        <v/>
      </c>
      <c r="N327" s="338">
        <f>COUNTIFS($A$5:$A$148,$A327,$E$5:$E$148,"是")</f>
        <v/>
      </c>
      <c r="O327" s="340">
        <f>COUNTIFS($A$152:$A$199,$A327,$C$152:$C$199,"是")</f>
        <v/>
      </c>
      <c r="P327" s="340">
        <f>COUNTIFS($A$152:$A$199,$A327,$D$152:$D$199,"是")</f>
        <v/>
      </c>
      <c r="Q327" s="337">
        <f>IF(AND(Records!B221&lt;&gt;"",Records!D221&lt;&gt;"",ISNUMBER(Records!E221),Records!F221&lt;&gt;"",Records!G221&lt;&gt;"",Records!H221&lt;&gt;"",OR(AND(Records!B221="无明显偏好",OR(Records!C221="",Records!C221="N/A")),AND(Records!B221&lt;&gt;"无明显偏好",ISNUMBER(Records!C221),Records!C221&gt;=1,Records!C221&lt;=7))),"是","否")</f>
        <v/>
      </c>
      <c r="R327" s="336">
        <f>IF(Participants!W21="","",Participants!W21)</f>
        <v/>
      </c>
      <c r="S327" s="336">
        <f>IF(AND($B327="是",$C327="是"),IF(Participants!S21="","",Participants!S21),"")</f>
        <v/>
      </c>
      <c r="T327" s="336">
        <f>IF(AND($B327="是",$C327="是"),IF(Records!H221="","",Records!H221),"")</f>
        <v/>
      </c>
      <c r="U327" s="336">
        <f>IF($F327="是",Participants!C21,"")</f>
        <v/>
      </c>
      <c r="V327" s="336">
        <f>IF($F327="是",Participants!D21,"")</f>
        <v/>
      </c>
      <c r="W327" s="336">
        <f>IF($F327="是",Participants!I21,"")</f>
        <v/>
      </c>
      <c r="X327" s="336">
        <f>IF($F327="是",Participants!K21,"")</f>
        <v/>
      </c>
      <c r="Y327" s="337">
        <f>IF(OR(S327="",T327=""),"",IF(MATCH(T327,{"无","轻微","中等","明显","因不适中止"},0)&gt;MATCH(S327,{"无","轻微","中等","明显","因不适中止"},0),"Worsened",IF(MATCH(T327,{"无","轻微","中等","明显","因不适中止"},0)&lt;MATCH(S327,{"无","轻微","中等","明显","因不适中止"},0),"Improved","Unchanged")))</f>
        <v/>
      </c>
      <c r="Z327" s="337">
        <f>IF(AND(B327="",COUNTA(Participants!L21:X21)=0),"unused_slot",IF(B327&lt;&gt;"是","not_consented",IF(F327="是",IF(E327="是","included_complete","included_but_incomplete"),IF(F327="否",IF(R327="","excluded_reason_missing","excluded"),"pending_review"))))</f>
        <v/>
      </c>
    </row>
    <row r="328">
      <c r="A328" s="335">
        <f>Participants!A22</f>
        <v/>
      </c>
      <c r="B328" s="337">
        <f>IF(Participants!R22="","",Participants!R22)</f>
        <v/>
      </c>
      <c r="C328" s="337">
        <f>IF(Participants!T22&lt;&gt;"","是","否")</f>
        <v/>
      </c>
      <c r="D328" s="337">
        <f>IF(AND(Participants!T22&lt;&gt;"",Participants!U22&lt;&gt;""),"是","否")</f>
        <v/>
      </c>
      <c r="E328" s="337">
        <f>IF(AND(F328="是",N328=6,O328=2,P328=2,Q328="是"),"是","否")</f>
        <v/>
      </c>
      <c r="F328" s="337">
        <f>IF(Participants!V22="","",Participants!V22)</f>
        <v/>
      </c>
      <c r="G328" s="338">
        <f>IF($F328="是",IF(Participants!L22="","",Participants!L22),"")</f>
        <v/>
      </c>
      <c r="H328" s="336">
        <f>IF($F328="是",IF(Participants!M22="","",Participants!M22),"")</f>
        <v/>
      </c>
      <c r="I328" s="336">
        <f>IF($F328="是",IF(Participants!N22="","",Participants!N22),"")</f>
        <v/>
      </c>
      <c r="J328" s="336">
        <f>IF($F328="是",IF(Participants!O22="","",Participants!O22),"")</f>
        <v/>
      </c>
      <c r="K328" s="336">
        <f>IF($F328="是",IF(Participants!P22="","",Participants!P22),"")</f>
        <v/>
      </c>
      <c r="L328" s="336">
        <f>IF($F328="是",IF(Participants!Q22="","",Participants!Q22),"")</f>
        <v/>
      </c>
      <c r="M328" s="339">
        <f>IF(AND($F328="是",Participants!T22&lt;&gt;"",Participants!U22&lt;&gt;""),IFERROR(MOD(Participants!U22-Participants!T22,1)*1440,IFERROR(MOD(TIMEVALUE(Participants!U22)-TIMEVALUE(Participants!T22),1)*1440,"")),"")</f>
        <v/>
      </c>
      <c r="N328" s="338">
        <f>COUNTIFS($A$5:$A$148,$A328,$E$5:$E$148,"是")</f>
        <v/>
      </c>
      <c r="O328" s="340">
        <f>COUNTIFS($A$152:$A$199,$A328,$C$152:$C$199,"是")</f>
        <v/>
      </c>
      <c r="P328" s="340">
        <f>COUNTIFS($A$152:$A$199,$A328,$D$152:$D$199,"是")</f>
        <v/>
      </c>
      <c r="Q328" s="337">
        <f>IF(AND(Records!B222&lt;&gt;"",Records!D222&lt;&gt;"",ISNUMBER(Records!E222),Records!F222&lt;&gt;"",Records!G222&lt;&gt;"",Records!H222&lt;&gt;"",OR(AND(Records!B222="无明显偏好",OR(Records!C222="",Records!C222="N/A")),AND(Records!B222&lt;&gt;"无明显偏好",ISNUMBER(Records!C222),Records!C222&gt;=1,Records!C222&lt;=7))),"是","否")</f>
        <v/>
      </c>
      <c r="R328" s="336">
        <f>IF(Participants!W22="","",Participants!W22)</f>
        <v/>
      </c>
      <c r="S328" s="336">
        <f>IF(AND($B328="是",$C328="是"),IF(Participants!S22="","",Participants!S22),"")</f>
        <v/>
      </c>
      <c r="T328" s="336">
        <f>IF(AND($B328="是",$C328="是"),IF(Records!H222="","",Records!H222),"")</f>
        <v/>
      </c>
      <c r="U328" s="336">
        <f>IF($F328="是",Participants!C22,"")</f>
        <v/>
      </c>
      <c r="V328" s="336">
        <f>IF($F328="是",Participants!D22,"")</f>
        <v/>
      </c>
      <c r="W328" s="336">
        <f>IF($F328="是",Participants!I22,"")</f>
        <v/>
      </c>
      <c r="X328" s="336">
        <f>IF($F328="是",Participants!K22,"")</f>
        <v/>
      </c>
      <c r="Y328" s="337">
        <f>IF(OR(S328="",T328=""),"",IF(MATCH(T328,{"无","轻微","中等","明显","因不适中止"},0)&gt;MATCH(S328,{"无","轻微","中等","明显","因不适中止"},0),"Worsened",IF(MATCH(T328,{"无","轻微","中等","明显","因不适中止"},0)&lt;MATCH(S328,{"无","轻微","中等","明显","因不适中止"},0),"Improved","Unchanged")))</f>
        <v/>
      </c>
      <c r="Z328" s="337">
        <f>IF(AND(B328="",COUNTA(Participants!L22:X22)=0),"unused_slot",IF(B328&lt;&gt;"是","not_consented",IF(F328="是",IF(E328="是","included_complete","included_but_incomplete"),IF(F328="否",IF(R328="","excluded_reason_missing","excluded"),"pending_review"))))</f>
        <v/>
      </c>
    </row>
    <row r="329">
      <c r="A329" s="335">
        <f>Participants!A23</f>
        <v/>
      </c>
      <c r="B329" s="337">
        <f>IF(Participants!R23="","",Participants!R23)</f>
        <v/>
      </c>
      <c r="C329" s="337">
        <f>IF(Participants!T23&lt;&gt;"","是","否")</f>
        <v/>
      </c>
      <c r="D329" s="337">
        <f>IF(AND(Participants!T23&lt;&gt;"",Participants!U23&lt;&gt;""),"是","否")</f>
        <v/>
      </c>
      <c r="E329" s="337">
        <f>IF(AND(F329="是",N329=6,O329=2,P329=2,Q329="是"),"是","否")</f>
        <v/>
      </c>
      <c r="F329" s="337">
        <f>IF(Participants!V23="","",Participants!V23)</f>
        <v/>
      </c>
      <c r="G329" s="338">
        <f>IF($F329="是",IF(Participants!L23="","",Participants!L23),"")</f>
        <v/>
      </c>
      <c r="H329" s="336">
        <f>IF($F329="是",IF(Participants!M23="","",Participants!M23),"")</f>
        <v/>
      </c>
      <c r="I329" s="336">
        <f>IF($F329="是",IF(Participants!N23="","",Participants!N23),"")</f>
        <v/>
      </c>
      <c r="J329" s="336">
        <f>IF($F329="是",IF(Participants!O23="","",Participants!O23),"")</f>
        <v/>
      </c>
      <c r="K329" s="336">
        <f>IF($F329="是",IF(Participants!P23="","",Participants!P23),"")</f>
        <v/>
      </c>
      <c r="L329" s="336">
        <f>IF($F329="是",IF(Participants!Q23="","",Participants!Q23),"")</f>
        <v/>
      </c>
      <c r="M329" s="339">
        <f>IF(AND($F329="是",Participants!T23&lt;&gt;"",Participants!U23&lt;&gt;""),IFERROR(MOD(Participants!U23-Participants!T23,1)*1440,IFERROR(MOD(TIMEVALUE(Participants!U23)-TIMEVALUE(Participants!T23),1)*1440,"")),"")</f>
        <v/>
      </c>
      <c r="N329" s="338">
        <f>COUNTIFS($A$5:$A$148,$A329,$E$5:$E$148,"是")</f>
        <v/>
      </c>
      <c r="O329" s="340">
        <f>COUNTIFS($A$152:$A$199,$A329,$C$152:$C$199,"是")</f>
        <v/>
      </c>
      <c r="P329" s="340">
        <f>COUNTIFS($A$152:$A$199,$A329,$D$152:$D$199,"是")</f>
        <v/>
      </c>
      <c r="Q329" s="337">
        <f>IF(AND(Records!B223&lt;&gt;"",Records!D223&lt;&gt;"",ISNUMBER(Records!E223),Records!F223&lt;&gt;"",Records!G223&lt;&gt;"",Records!H223&lt;&gt;"",OR(AND(Records!B223="无明显偏好",OR(Records!C223="",Records!C223="N/A")),AND(Records!B223&lt;&gt;"无明显偏好",ISNUMBER(Records!C223),Records!C223&gt;=1,Records!C223&lt;=7))),"是","否")</f>
        <v/>
      </c>
      <c r="R329" s="336">
        <f>IF(Participants!W23="","",Participants!W23)</f>
        <v/>
      </c>
      <c r="S329" s="336">
        <f>IF(AND($B329="是",$C329="是"),IF(Participants!S23="","",Participants!S23),"")</f>
        <v/>
      </c>
      <c r="T329" s="336">
        <f>IF(AND($B329="是",$C329="是"),IF(Records!H223="","",Records!H223),"")</f>
        <v/>
      </c>
      <c r="U329" s="336">
        <f>IF($F329="是",Participants!C23,"")</f>
        <v/>
      </c>
      <c r="V329" s="336">
        <f>IF($F329="是",Participants!D23,"")</f>
        <v/>
      </c>
      <c r="W329" s="336">
        <f>IF($F329="是",Participants!I23,"")</f>
        <v/>
      </c>
      <c r="X329" s="336">
        <f>IF($F329="是",Participants!K23,"")</f>
        <v/>
      </c>
      <c r="Y329" s="337">
        <f>IF(OR(S329="",T329=""),"",IF(MATCH(T329,{"无","轻微","中等","明显","因不适中止"},0)&gt;MATCH(S329,{"无","轻微","中等","明显","因不适中止"},0),"Worsened",IF(MATCH(T329,{"无","轻微","中等","明显","因不适中止"},0)&lt;MATCH(S329,{"无","轻微","中等","明显","因不适中止"},0),"Improved","Unchanged")))</f>
        <v/>
      </c>
      <c r="Z329" s="337">
        <f>IF(AND(B329="",COUNTA(Participants!L23:X23)=0),"unused_slot",IF(B329&lt;&gt;"是","not_consented",IF(F329="是",IF(E329="是","included_complete","included_but_incomplete"),IF(F329="否",IF(R329="","excluded_reason_missing","excluded"),"pending_review"))))</f>
        <v/>
      </c>
    </row>
    <row r="330">
      <c r="A330" s="335">
        <f>Participants!A24</f>
        <v/>
      </c>
      <c r="B330" s="337">
        <f>IF(Participants!R24="","",Participants!R24)</f>
        <v/>
      </c>
      <c r="C330" s="337">
        <f>IF(Participants!T24&lt;&gt;"","是","否")</f>
        <v/>
      </c>
      <c r="D330" s="337">
        <f>IF(AND(Participants!T24&lt;&gt;"",Participants!U24&lt;&gt;""),"是","否")</f>
        <v/>
      </c>
      <c r="E330" s="337">
        <f>IF(AND(F330="是",N330=6,O330=2,P330=2,Q330="是"),"是","否")</f>
        <v/>
      </c>
      <c r="F330" s="337">
        <f>IF(Participants!V24="","",Participants!V24)</f>
        <v/>
      </c>
      <c r="G330" s="338">
        <f>IF($F330="是",IF(Participants!L24="","",Participants!L24),"")</f>
        <v/>
      </c>
      <c r="H330" s="336">
        <f>IF($F330="是",IF(Participants!M24="","",Participants!M24),"")</f>
        <v/>
      </c>
      <c r="I330" s="336">
        <f>IF($F330="是",IF(Participants!N24="","",Participants!N24),"")</f>
        <v/>
      </c>
      <c r="J330" s="336">
        <f>IF($F330="是",IF(Participants!O24="","",Participants!O24),"")</f>
        <v/>
      </c>
      <c r="K330" s="336">
        <f>IF($F330="是",IF(Participants!P24="","",Participants!P24),"")</f>
        <v/>
      </c>
      <c r="L330" s="336">
        <f>IF($F330="是",IF(Participants!Q24="","",Participants!Q24),"")</f>
        <v/>
      </c>
      <c r="M330" s="339">
        <f>IF(AND($F330="是",Participants!T24&lt;&gt;"",Participants!U24&lt;&gt;""),IFERROR(MOD(Participants!U24-Participants!T24,1)*1440,IFERROR(MOD(TIMEVALUE(Participants!U24)-TIMEVALUE(Participants!T24),1)*1440,"")),"")</f>
        <v/>
      </c>
      <c r="N330" s="338">
        <f>COUNTIFS($A$5:$A$148,$A330,$E$5:$E$148,"是")</f>
        <v/>
      </c>
      <c r="O330" s="340">
        <f>COUNTIFS($A$152:$A$199,$A330,$C$152:$C$199,"是")</f>
        <v/>
      </c>
      <c r="P330" s="340">
        <f>COUNTIFS($A$152:$A$199,$A330,$D$152:$D$199,"是")</f>
        <v/>
      </c>
      <c r="Q330" s="337">
        <f>IF(AND(Records!B224&lt;&gt;"",Records!D224&lt;&gt;"",ISNUMBER(Records!E224),Records!F224&lt;&gt;"",Records!G224&lt;&gt;"",Records!H224&lt;&gt;"",OR(AND(Records!B224="无明显偏好",OR(Records!C224="",Records!C224="N/A")),AND(Records!B224&lt;&gt;"无明显偏好",ISNUMBER(Records!C224),Records!C224&gt;=1,Records!C224&lt;=7))),"是","否")</f>
        <v/>
      </c>
      <c r="R330" s="336">
        <f>IF(Participants!W24="","",Participants!W24)</f>
        <v/>
      </c>
      <c r="S330" s="336">
        <f>IF(AND($B330="是",$C330="是"),IF(Participants!S24="","",Participants!S24),"")</f>
        <v/>
      </c>
      <c r="T330" s="336">
        <f>IF(AND($B330="是",$C330="是"),IF(Records!H224="","",Records!H224),"")</f>
        <v/>
      </c>
      <c r="U330" s="336">
        <f>IF($F330="是",Participants!C24,"")</f>
        <v/>
      </c>
      <c r="V330" s="336">
        <f>IF($F330="是",Participants!D24,"")</f>
        <v/>
      </c>
      <c r="W330" s="336">
        <f>IF($F330="是",Participants!I24,"")</f>
        <v/>
      </c>
      <c r="X330" s="336">
        <f>IF($F330="是",Participants!K24,"")</f>
        <v/>
      </c>
      <c r="Y330" s="337">
        <f>IF(OR(S330="",T330=""),"",IF(MATCH(T330,{"无","轻微","中等","明显","因不适中止"},0)&gt;MATCH(S330,{"无","轻微","中等","明显","因不适中止"},0),"Worsened",IF(MATCH(T330,{"无","轻微","中等","明显","因不适中止"},0)&lt;MATCH(S330,{"无","轻微","中等","明显","因不适中止"},0),"Improved","Unchanged")))</f>
        <v/>
      </c>
      <c r="Z330" s="337">
        <f>IF(AND(B330="",COUNTA(Participants!L24:X24)=0),"unused_slot",IF(B330&lt;&gt;"是","not_consented",IF(F330="是",IF(E330="是","included_complete","included_but_incomplete"),IF(F330="否",IF(R330="","excluded_reason_missing","excluded"),"pending_review"))))</f>
        <v/>
      </c>
    </row>
    <row r="331">
      <c r="A331" s="335">
        <f>Participants!A25</f>
        <v/>
      </c>
      <c r="B331" s="337">
        <f>IF(Participants!R25="","",Participants!R25)</f>
        <v/>
      </c>
      <c r="C331" s="337">
        <f>IF(Participants!T25&lt;&gt;"","是","否")</f>
        <v/>
      </c>
      <c r="D331" s="337">
        <f>IF(AND(Participants!T25&lt;&gt;"",Participants!U25&lt;&gt;""),"是","否")</f>
        <v/>
      </c>
      <c r="E331" s="337">
        <f>IF(AND(F331="是",N331=6,O331=2,P331=2,Q331="是"),"是","否")</f>
        <v/>
      </c>
      <c r="F331" s="337">
        <f>IF(Participants!V25="","",Participants!V25)</f>
        <v/>
      </c>
      <c r="G331" s="338">
        <f>IF($F331="是",IF(Participants!L25="","",Participants!L25),"")</f>
        <v/>
      </c>
      <c r="H331" s="336">
        <f>IF($F331="是",IF(Participants!M25="","",Participants!M25),"")</f>
        <v/>
      </c>
      <c r="I331" s="336">
        <f>IF($F331="是",IF(Participants!N25="","",Participants!N25),"")</f>
        <v/>
      </c>
      <c r="J331" s="336">
        <f>IF($F331="是",IF(Participants!O25="","",Participants!O25),"")</f>
        <v/>
      </c>
      <c r="K331" s="336">
        <f>IF($F331="是",IF(Participants!P25="","",Participants!P25),"")</f>
        <v/>
      </c>
      <c r="L331" s="336">
        <f>IF($F331="是",IF(Participants!Q25="","",Participants!Q25),"")</f>
        <v/>
      </c>
      <c r="M331" s="339">
        <f>IF(AND($F331="是",Participants!T25&lt;&gt;"",Participants!U25&lt;&gt;""),IFERROR(MOD(Participants!U25-Participants!T25,1)*1440,IFERROR(MOD(TIMEVALUE(Participants!U25)-TIMEVALUE(Participants!T25),1)*1440,"")),"")</f>
        <v/>
      </c>
      <c r="N331" s="338">
        <f>COUNTIFS($A$5:$A$148,$A331,$E$5:$E$148,"是")</f>
        <v/>
      </c>
      <c r="O331" s="340">
        <f>COUNTIFS($A$152:$A$199,$A331,$C$152:$C$199,"是")</f>
        <v/>
      </c>
      <c r="P331" s="340">
        <f>COUNTIFS($A$152:$A$199,$A331,$D$152:$D$199,"是")</f>
        <v/>
      </c>
      <c r="Q331" s="337">
        <f>IF(AND(Records!B225&lt;&gt;"",Records!D225&lt;&gt;"",ISNUMBER(Records!E225),Records!F225&lt;&gt;"",Records!G225&lt;&gt;"",Records!H225&lt;&gt;"",OR(AND(Records!B225="无明显偏好",OR(Records!C225="",Records!C225="N/A")),AND(Records!B225&lt;&gt;"无明显偏好",ISNUMBER(Records!C225),Records!C225&gt;=1,Records!C225&lt;=7))),"是","否")</f>
        <v/>
      </c>
      <c r="R331" s="336">
        <f>IF(Participants!W25="","",Participants!W25)</f>
        <v/>
      </c>
      <c r="S331" s="336">
        <f>IF(AND($B331="是",$C331="是"),IF(Participants!S25="","",Participants!S25),"")</f>
        <v/>
      </c>
      <c r="T331" s="336">
        <f>IF(AND($B331="是",$C331="是"),IF(Records!H225="","",Records!H225),"")</f>
        <v/>
      </c>
      <c r="U331" s="336">
        <f>IF($F331="是",Participants!C25,"")</f>
        <v/>
      </c>
      <c r="V331" s="336">
        <f>IF($F331="是",Participants!D25,"")</f>
        <v/>
      </c>
      <c r="W331" s="336">
        <f>IF($F331="是",Participants!I25,"")</f>
        <v/>
      </c>
      <c r="X331" s="336">
        <f>IF($F331="是",Participants!K25,"")</f>
        <v/>
      </c>
      <c r="Y331" s="337">
        <f>IF(OR(S331="",T331=""),"",IF(MATCH(T331,{"无","轻微","中等","明显","因不适中止"},0)&gt;MATCH(S331,{"无","轻微","中等","明显","因不适中止"},0),"Worsened",IF(MATCH(T331,{"无","轻微","中等","明显","因不适中止"},0)&lt;MATCH(S331,{"无","轻微","中等","明显","因不适中止"},0),"Improved","Unchanged")))</f>
        <v/>
      </c>
      <c r="Z331" s="337">
        <f>IF(AND(B331="",COUNTA(Participants!L25:X25)=0),"unused_slot",IF(B331&lt;&gt;"是","not_consented",IF(F331="是",IF(E331="是","included_complete","included_but_incomplete"),IF(F331="否",IF(R331="","excluded_reason_missing","excluded"),"pending_review"))))</f>
        <v/>
      </c>
    </row>
    <row r="332">
      <c r="A332" s="335">
        <f>Participants!A26</f>
        <v/>
      </c>
      <c r="B332" s="337">
        <f>IF(Participants!R26="","",Participants!R26)</f>
        <v/>
      </c>
      <c r="C332" s="337">
        <f>IF(Participants!T26&lt;&gt;"","是","否")</f>
        <v/>
      </c>
      <c r="D332" s="337">
        <f>IF(AND(Participants!T26&lt;&gt;"",Participants!U26&lt;&gt;""),"是","否")</f>
        <v/>
      </c>
      <c r="E332" s="337">
        <f>IF(AND(F332="是",N332=6,O332=2,P332=2,Q332="是"),"是","否")</f>
        <v/>
      </c>
      <c r="F332" s="337">
        <f>IF(Participants!V26="","",Participants!V26)</f>
        <v/>
      </c>
      <c r="G332" s="338">
        <f>IF($F332="是",IF(Participants!L26="","",Participants!L26),"")</f>
        <v/>
      </c>
      <c r="H332" s="336">
        <f>IF($F332="是",IF(Participants!M26="","",Participants!M26),"")</f>
        <v/>
      </c>
      <c r="I332" s="336">
        <f>IF($F332="是",IF(Participants!N26="","",Participants!N26),"")</f>
        <v/>
      </c>
      <c r="J332" s="336">
        <f>IF($F332="是",IF(Participants!O26="","",Participants!O26),"")</f>
        <v/>
      </c>
      <c r="K332" s="336">
        <f>IF($F332="是",IF(Participants!P26="","",Participants!P26),"")</f>
        <v/>
      </c>
      <c r="L332" s="336">
        <f>IF($F332="是",IF(Participants!Q26="","",Participants!Q26),"")</f>
        <v/>
      </c>
      <c r="M332" s="339">
        <f>IF(AND($F332="是",Participants!T26&lt;&gt;"",Participants!U26&lt;&gt;""),IFERROR(MOD(Participants!U26-Participants!T26,1)*1440,IFERROR(MOD(TIMEVALUE(Participants!U26)-TIMEVALUE(Participants!T26),1)*1440,"")),"")</f>
        <v/>
      </c>
      <c r="N332" s="338">
        <f>COUNTIFS($A$5:$A$148,$A332,$E$5:$E$148,"是")</f>
        <v/>
      </c>
      <c r="O332" s="340">
        <f>COUNTIFS($A$152:$A$199,$A332,$C$152:$C$199,"是")</f>
        <v/>
      </c>
      <c r="P332" s="340">
        <f>COUNTIFS($A$152:$A$199,$A332,$D$152:$D$199,"是")</f>
        <v/>
      </c>
      <c r="Q332" s="337">
        <f>IF(AND(Records!B226&lt;&gt;"",Records!D226&lt;&gt;"",ISNUMBER(Records!E226),Records!F226&lt;&gt;"",Records!G226&lt;&gt;"",Records!H226&lt;&gt;"",OR(AND(Records!B226="无明显偏好",OR(Records!C226="",Records!C226="N/A")),AND(Records!B226&lt;&gt;"无明显偏好",ISNUMBER(Records!C226),Records!C226&gt;=1,Records!C226&lt;=7))),"是","否")</f>
        <v/>
      </c>
      <c r="R332" s="336">
        <f>IF(Participants!W26="","",Participants!W26)</f>
        <v/>
      </c>
      <c r="S332" s="336">
        <f>IF(AND($B332="是",$C332="是"),IF(Participants!S26="","",Participants!S26),"")</f>
        <v/>
      </c>
      <c r="T332" s="336">
        <f>IF(AND($B332="是",$C332="是"),IF(Records!H226="","",Records!H226),"")</f>
        <v/>
      </c>
      <c r="U332" s="336">
        <f>IF($F332="是",Participants!C26,"")</f>
        <v/>
      </c>
      <c r="V332" s="336">
        <f>IF($F332="是",Participants!D26,"")</f>
        <v/>
      </c>
      <c r="W332" s="336">
        <f>IF($F332="是",Participants!I26,"")</f>
        <v/>
      </c>
      <c r="X332" s="336">
        <f>IF($F332="是",Participants!K26,"")</f>
        <v/>
      </c>
      <c r="Y332" s="337">
        <f>IF(OR(S332="",T332=""),"",IF(MATCH(T332,{"无","轻微","中等","明显","因不适中止"},0)&gt;MATCH(S332,{"无","轻微","中等","明显","因不适中止"},0),"Worsened",IF(MATCH(T332,{"无","轻微","中等","明显","因不适中止"},0)&lt;MATCH(S332,{"无","轻微","中等","明显","因不适中止"},0),"Improved","Unchanged")))</f>
        <v/>
      </c>
      <c r="Z332" s="337">
        <f>IF(AND(B332="",COUNTA(Participants!L26:X26)=0),"unused_slot",IF(B332&lt;&gt;"是","not_consented",IF(F332="是",IF(E332="是","included_complete","included_but_incomplete"),IF(F332="否",IF(R332="","excluded_reason_missing","excluded"),"pending_review"))))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Z148"/>
  <mergeCells count="8">
    <mergeCell ref="A307:Z307"/>
    <mergeCell ref="A279:E279"/>
    <mergeCell ref="A201:U201"/>
    <mergeCell ref="A1:Z1"/>
    <mergeCell ref="A3:Z3"/>
    <mergeCell ref="A2:Z2"/>
    <mergeCell ref="A150:U150"/>
    <mergeCell ref="A252:M2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7"/>
  <sheetViews>
    <sheetView showGridLines="0" workbookViewId="0">
      <pane xSplit="2" ySplit="20" topLeftCell="C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1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13" customWidth="1" min="10" max="10"/>
    <col width="12" customWidth="1" min="11" max="11"/>
    <col width="11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2" customWidth="1" min="19" max="19"/>
    <col width="20" customWidth="1" min="20" max="20"/>
  </cols>
  <sheetData>
    <row r="1" ht="28" customHeight="1">
      <c r="A1" s="331" t="inlineStr">
        <is>
          <t>实验三实时数据检查与论文汇报概览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34" customHeight="1">
      <c r="A2" s="332" t="inlineStr">
        <is>
          <t>数据流：人工只填 Participants + Records → Derived 只读公式派生 → Analysis 绿色区现场描述 → pixi run eval analyze exp3 另写正式结果 XLSX。黄色区仅标识离线统计，本原始文件不会被 Python 回填。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/>
    <row r="4" ht="23" customHeight="1">
      <c r="A4" s="333" t="inlineStr">
        <is>
          <t>A. 样本流程、采集完整性与问卷负担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30" customHeight="1">
      <c r="A5" s="334" t="inlineStr">
        <is>
          <t>检查项</t>
        </is>
      </c>
      <c r="B5" s="334" t="inlineStr">
        <is>
          <t>实时值</t>
        </is>
      </c>
      <c r="C5" s="334" t="inlineStr">
        <is>
          <t>目标/规则</t>
        </is>
      </c>
      <c r="D5" s="334" t="inlineStr">
        <is>
          <t>状态</t>
        </is>
      </c>
    </row>
    <row r="6">
      <c r="A6" s="335" t="inlineStr">
        <is>
          <t>已签署同意</t>
        </is>
      </c>
      <c r="B6" s="335">
        <f>COUNTIF(Derived!B309:B332,"是")</f>
        <v/>
      </c>
      <c r="C6" s="336" t="inlineStr">
        <is>
          <t>样本流分母</t>
        </is>
      </c>
      <c r="D6" s="336">
        <f>IF(B6=0,"待招募","已记录")</f>
        <v/>
      </c>
    </row>
    <row r="7">
      <c r="A7" s="335" t="inlineStr">
        <is>
          <t>已开始会话</t>
        </is>
      </c>
      <c r="B7" s="335">
        <f>COUNTIFS(Derived!B309:B332,"是",Derived!C309:C332,"是")</f>
        <v/>
      </c>
      <c r="C7" s="336" t="inlineStr">
        <is>
          <t>已同意者中的开始人数</t>
        </is>
      </c>
      <c r="D7" s="336">
        <f>IF(B7&lt;=B6,"通过","检查")</f>
        <v/>
      </c>
    </row>
    <row r="8">
      <c r="A8" s="335" t="inlineStr">
        <is>
          <t>已完成会话</t>
        </is>
      </c>
      <c r="B8" s="335">
        <f>COUNTIFS(Derived!B309:B332,"是",Derived!D309:D332,"是")</f>
        <v/>
      </c>
      <c r="C8" s="336" t="inlineStr">
        <is>
          <t>有开始和结束时间；不等同分析纳入</t>
        </is>
      </c>
      <c r="D8" s="336">
        <f>IF(B8&lt;=B7,"通过","检查")</f>
        <v/>
      </c>
    </row>
    <row r="9">
      <c r="A9" s="335" t="inlineStr">
        <is>
          <t>确认纳入参与者</t>
        </is>
      </c>
      <c r="B9" s="335">
        <f>COUNTIFS(Derived!B309:B332,"是",Derived!F309:F332,"是")</f>
        <v/>
      </c>
      <c r="C9" s="336" t="inlineStr">
        <is>
          <t>目标 24；硬下限 18</t>
        </is>
      </c>
      <c r="D9" s="336">
        <f>IF(B9&gt;=24,"完成",IF(B9&gt;=18,"可分析但未达目标","未达下限"))</f>
        <v/>
      </c>
    </row>
    <row r="10">
      <c r="A10" s="335" t="inlineStr">
        <is>
          <t>已排除/退出</t>
        </is>
      </c>
      <c r="B10" s="335">
        <f>COUNTIFS(Derived!B309:B332,"是",Derived!F309:F332,"否")</f>
        <v/>
      </c>
      <c r="C10" s="336" t="inlineStr">
        <is>
          <t>必须记录冻结主原因</t>
        </is>
      </c>
      <c r="D10" s="336">
        <f>IF(COUNTIFS(Derived!F309:F332,"否",Derived!R309:R332,"")=0,"通过","原因缺失")</f>
        <v/>
      </c>
    </row>
    <row r="11">
      <c r="A11" s="335" t="inlineStr">
        <is>
          <t>待审核</t>
        </is>
      </c>
      <c r="B11" s="335">
        <f>COUNTIFS(Derived!B309:B332,"是",Derived!F309:F332,"")</f>
        <v/>
      </c>
      <c r="C11" s="336" t="inlineStr">
        <is>
          <t>分析前必须清零</t>
        </is>
      </c>
      <c r="D11" s="336">
        <f>IF(B11=0,"通过","待处理")</f>
        <v/>
      </c>
    </row>
    <row r="12">
      <c r="A12" s="335" t="inlineStr">
        <is>
          <t>纳入者分析记录完整</t>
        </is>
      </c>
      <c r="B12" s="335">
        <f>COUNTIFS(Derived!F309:F332,"是",Derived!E309:E332,"是")</f>
        <v/>
      </c>
      <c r="C12" s="336" t="inlineStr">
        <is>
          <t>每位纳入者均完整</t>
        </is>
      </c>
      <c r="D12" s="336">
        <f>IF(B12=B9,"通过","检查缺失或审核")</f>
        <v/>
      </c>
    </row>
    <row r="13">
      <c r="A13" s="335" t="inlineStr">
        <is>
          <t>有效区块</t>
        </is>
      </c>
      <c r="B13" s="335">
        <f>COUNTIF(Derived!E5:E148,"是")</f>
        <v/>
      </c>
      <c r="C13" s="336" t="inlineStr">
        <is>
          <t>每位纳入者 6 个</t>
        </is>
      </c>
      <c r="D13" s="336">
        <f>IF(B13=B9*6,"通过","检查缺失或审核")</f>
        <v/>
      </c>
    </row>
    <row r="14">
      <c r="A14" s="335" t="inlineStr">
        <is>
          <t>有效方法级记录</t>
        </is>
      </c>
      <c r="B14" s="335">
        <f>COUNTIF(Derived!D152:D199,"是")</f>
        <v/>
      </c>
      <c r="C14" s="336" t="inlineStr">
        <is>
          <t>每位纳入者 2 个；量表按各自阈值计分</t>
        </is>
      </c>
      <c r="D14" s="336">
        <f>IF(B14=B9*2,"通过","检查缺失或审核")</f>
        <v/>
      </c>
    </row>
    <row r="15">
      <c r="A15" s="335" t="inlineStr">
        <is>
          <t>最终问卷完整</t>
        </is>
      </c>
      <c r="B15" s="335">
        <f>COUNTIF(Derived!E281:E304,"是")</f>
        <v/>
      </c>
      <c r="C15" s="336" t="inlineStr">
        <is>
          <t>含选择、跳题、开放题与安全检查</t>
        </is>
      </c>
      <c r="D15" s="336">
        <f>IF(B15=B9,"通过","检查缺失")</f>
        <v/>
      </c>
    </row>
    <row r="16">
      <c r="A16" s="335" t="inlineStr">
        <is>
          <t>有效区块中问卷 &gt;150 s</t>
        </is>
      </c>
      <c r="B16" s="341">
        <f>IFERROR(COUNTIFS(Derived!E5:E148,"是",Derived!P5:P148,"是")/COUNTIF(Derived!E5:E148,"是"),"")</f>
        <v/>
      </c>
      <c r="C16" s="336" t="inlineStr">
        <is>
          <t>预实验负担诊断</t>
        </is>
      </c>
      <c r="D16" s="336">
        <f>IF(B16="","待填",IF(B16&gt;=0.2,"触发复核","未触发"))</f>
        <v/>
      </c>
    </row>
    <row r="17">
      <c r="A17" s="335" t="inlineStr">
        <is>
          <t>有效区块中 &gt;=5 连续同分</t>
        </is>
      </c>
      <c r="B17" s="341">
        <f>IFERROR(COUNTIFS(Derived!E5:E148,"是",Derived!Q5:Q148,"是")/COUNTIF(Derived!E5:E148,"是"),"")</f>
        <v/>
      </c>
      <c r="C17" s="336" t="inlineStr">
        <is>
          <t>预实验负担诊断</t>
        </is>
      </c>
      <c r="D17" s="336">
        <f>IF(B17="","待填",IF(B17&gt;=0.05,"触发复核","未触发"))</f>
        <v/>
      </c>
    </row>
    <row r="18"/>
    <row r="19" ht="23" customHeight="1">
      <c r="A19" s="333" t="inlineStr">
        <is>
          <t>B1. 参与者连续变量：仅纳入样本；论文数字以 Python 结果为准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30" customHeight="1">
      <c r="A20" s="334" t="inlineStr">
        <is>
          <t>Metric</t>
        </is>
      </c>
      <c r="B20" s="334" t="inlineStr">
        <is>
          <t>N</t>
        </is>
      </c>
      <c r="C20" s="334" t="inlineStr">
        <is>
          <t>Missing</t>
        </is>
      </c>
      <c r="D20" s="334" t="inlineStr">
        <is>
          <t>Mean</t>
        </is>
      </c>
      <c r="E20" s="334" t="inlineStr">
        <is>
          <t>SD</t>
        </is>
      </c>
      <c r="F20" s="334" t="inlineStr">
        <is>
          <t>Median</t>
        </is>
      </c>
      <c r="G20" s="334" t="inlineStr">
        <is>
          <t>Q1</t>
        </is>
      </c>
      <c r="H20" s="334" t="inlineStr">
        <is>
          <t>Q3</t>
        </is>
      </c>
      <c r="I20" s="334" t="inlineStr">
        <is>
          <t>Min</t>
        </is>
      </c>
      <c r="J20" s="334" t="inlineStr">
        <is>
          <t>Max</t>
        </is>
      </c>
      <c r="K20" s="334" t="inlineStr">
        <is>
          <t>论文用途</t>
        </is>
      </c>
    </row>
    <row r="21">
      <c r="A21" s="335" t="inlineStr">
        <is>
          <t>Age</t>
        </is>
      </c>
      <c r="B21" s="335">
        <f>COUNT(Derived!G309:G332)</f>
        <v/>
      </c>
      <c r="C21" s="336">
        <f>$B$9-B21</f>
        <v/>
      </c>
      <c r="D21" s="336">
        <f>IF(B21=0,"",AVERAGE(Derived!G309:G332))</f>
        <v/>
      </c>
      <c r="E21" s="336">
        <f>IF(B21&lt;2,"",STDEV.S(Derived!G309:G332))</f>
        <v/>
      </c>
      <c r="F21" s="336">
        <f>IF(B21=0,"",MEDIAN(Derived!G309:G332))</f>
        <v/>
      </c>
      <c r="G21" s="336">
        <f>IF(B21=0,"",QUARTILE.INC(Derived!G309:G332,1))</f>
        <v/>
      </c>
      <c r="H21" s="336">
        <f>IF(B21=0,"",QUARTILE.INC(Derived!G309:G332,3))</f>
        <v/>
      </c>
      <c r="I21" s="336">
        <f>IF(B21=0,"",MIN(Derived!G309:G332))</f>
        <v/>
      </c>
      <c r="J21" s="336">
        <f>IF(B21=0,"",MAX(Derived!G309:G332))</f>
        <v/>
      </c>
      <c r="K21" s="336" t="inlineStr">
        <is>
          <t>主文样本描述</t>
        </is>
      </c>
    </row>
    <row r="22">
      <c r="A22" s="335" t="inlineStr">
        <is>
          <t>Session_Duration_Min</t>
        </is>
      </c>
      <c r="B22" s="335">
        <f>COUNT(Derived!M309:M332)</f>
        <v/>
      </c>
      <c r="C22" s="336">
        <f>$B$9-B22</f>
        <v/>
      </c>
      <c r="D22" s="336">
        <f>IF(B22=0,"",AVERAGE(Derived!M309:M332))</f>
        <v/>
      </c>
      <c r="E22" s="336">
        <f>IF(B22&lt;2,"",STDEV.S(Derived!M309:M332))</f>
        <v/>
      </c>
      <c r="F22" s="336">
        <f>IF(B22=0,"",MEDIAN(Derived!M309:M332))</f>
        <v/>
      </c>
      <c r="G22" s="336">
        <f>IF(B22=0,"",QUARTILE.INC(Derived!M309:M332,1))</f>
        <v/>
      </c>
      <c r="H22" s="336">
        <f>IF(B22=0,"",QUARTILE.INC(Derived!M309:M332,3))</f>
        <v/>
      </c>
      <c r="I22" s="336">
        <f>IF(B22=0,"",MIN(Derived!M309:M332))</f>
        <v/>
      </c>
      <c r="J22" s="336">
        <f>IF(B22=0,"",MAX(Derived!M309:M332))</f>
        <v/>
      </c>
      <c r="K22" s="336" t="inlineStr">
        <is>
          <t>流程审计/补充材料</t>
        </is>
      </c>
    </row>
    <row r="23"/>
    <row r="24"/>
    <row r="25" ht="23" customHeight="1">
      <c r="A25" s="333" t="inlineStr">
        <is>
          <t>B2. 参与者与安全分类分布：人口学分母为纳入 N，安全分母为已同意且已开始 N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30" customHeight="1">
      <c r="A26" s="334" t="inlineStr">
        <is>
          <t>Variable</t>
        </is>
      </c>
      <c r="B26" s="334" t="inlineStr">
        <is>
          <t>Category</t>
        </is>
      </c>
      <c r="C26" s="334" t="inlineStr">
        <is>
          <t>Count</t>
        </is>
      </c>
      <c r="D26" s="334" t="inlineStr">
        <is>
          <t>Percent</t>
        </is>
      </c>
      <c r="E26" s="334" t="inlineStr">
        <is>
          <t>Missing_N</t>
        </is>
      </c>
      <c r="F26" s="334" t="inlineStr">
        <is>
          <t>Denominator</t>
        </is>
      </c>
    </row>
    <row r="27">
      <c r="A27" s="335" t="inlineStr">
        <is>
          <t>Gender</t>
        </is>
      </c>
      <c r="B27" s="335" t="inlineStr">
        <is>
          <t>女</t>
        </is>
      </c>
      <c r="C27" s="336">
        <f>COUNTIF(Derived!$H$309:$H$332,B27)</f>
        <v/>
      </c>
      <c r="D27" s="341">
        <f>IF($B$9=0,"",C27/$B$9)</f>
        <v/>
      </c>
      <c r="E27" s="336">
        <f>$B$9-SUM($C$27:$C$30)</f>
        <v/>
      </c>
      <c r="F27" s="336">
        <f>$B$9</f>
        <v/>
      </c>
    </row>
    <row r="28">
      <c r="A28" s="335" t="inlineStr">
        <is>
          <t>Gender</t>
        </is>
      </c>
      <c r="B28" s="335" t="inlineStr">
        <is>
          <t>男</t>
        </is>
      </c>
      <c r="C28" s="336">
        <f>COUNTIF(Derived!$H$309:$H$332,B28)</f>
        <v/>
      </c>
      <c r="D28" s="341">
        <f>IF($B$9=0,"",C28/$B$9)</f>
        <v/>
      </c>
      <c r="E28" s="336">
        <f>$B$9-SUM($C$27:$C$30)</f>
        <v/>
      </c>
      <c r="F28" s="336">
        <f>$B$9</f>
        <v/>
      </c>
    </row>
    <row r="29">
      <c r="A29" s="335" t="inlineStr">
        <is>
          <t>Gender</t>
        </is>
      </c>
      <c r="B29" s="335" t="inlineStr">
        <is>
          <t>非二元或其他</t>
        </is>
      </c>
      <c r="C29" s="336">
        <f>COUNTIF(Derived!$H$309:$H$332,B29)</f>
        <v/>
      </c>
      <c r="D29" s="341">
        <f>IF($B$9=0,"",C29/$B$9)</f>
        <v/>
      </c>
      <c r="E29" s="336">
        <f>$B$9-SUM($C$27:$C$30)</f>
        <v/>
      </c>
      <c r="F29" s="336">
        <f>$B$9</f>
        <v/>
      </c>
    </row>
    <row r="30">
      <c r="A30" s="335" t="inlineStr">
        <is>
          <t>Gender</t>
        </is>
      </c>
      <c r="B30" s="335" t="inlineStr">
        <is>
          <t>不愿透露</t>
        </is>
      </c>
      <c r="C30" s="336">
        <f>COUNTIF(Derived!$H$309:$H$332,B30)</f>
        <v/>
      </c>
      <c r="D30" s="341">
        <f>IF($B$9=0,"",C30/$B$9)</f>
        <v/>
      </c>
      <c r="E30" s="336">
        <f>$B$9-SUM($C$27:$C$30)</f>
        <v/>
      </c>
      <c r="F30" s="336">
        <f>$B$9</f>
        <v/>
      </c>
    </row>
    <row r="31">
      <c r="A31" s="335" t="inlineStr">
        <is>
          <t>Handedness</t>
        </is>
      </c>
      <c r="B31" s="335" t="inlineStr">
        <is>
          <t>右手</t>
        </is>
      </c>
      <c r="C31" s="336">
        <f>COUNTIF(Derived!$I$309:$I$332,B31)</f>
        <v/>
      </c>
      <c r="D31" s="341">
        <f>IF($B$9=0,"",C31/$B$9)</f>
        <v/>
      </c>
      <c r="E31" s="336">
        <f>$B$9-SUM($C$31:$C$33)</f>
        <v/>
      </c>
      <c r="F31" s="336">
        <f>$B$9</f>
        <v/>
      </c>
    </row>
    <row r="32">
      <c r="A32" s="335" t="inlineStr">
        <is>
          <t>Handedness</t>
        </is>
      </c>
      <c r="B32" s="335" t="inlineStr">
        <is>
          <t>左手</t>
        </is>
      </c>
      <c r="C32" s="336">
        <f>COUNTIF(Derived!$I$309:$I$332,B32)</f>
        <v/>
      </c>
      <c r="D32" s="341">
        <f>IF($B$9=0,"",C32/$B$9)</f>
        <v/>
      </c>
      <c r="E32" s="336">
        <f>$B$9-SUM($C$31:$C$33)</f>
        <v/>
      </c>
      <c r="F32" s="336">
        <f>$B$9</f>
        <v/>
      </c>
    </row>
    <row r="33">
      <c r="A33" s="335" t="inlineStr">
        <is>
          <t>Handedness</t>
        </is>
      </c>
      <c r="B33" s="335" t="inlineStr">
        <is>
          <t>双手均可</t>
        </is>
      </c>
      <c r="C33" s="336">
        <f>COUNTIF(Derived!$I$309:$I$332,B33)</f>
        <v/>
      </c>
      <c r="D33" s="341">
        <f>IF($B$9=0,"",C33/$B$9)</f>
        <v/>
      </c>
      <c r="E33" s="336">
        <f>$B$9-SUM($C$31:$C$33)</f>
        <v/>
      </c>
      <c r="F33" s="336">
        <f>$B$9</f>
        <v/>
      </c>
    </row>
    <row r="34">
      <c r="A34" s="335" t="inlineStr">
        <is>
          <t>Vision</t>
        </is>
      </c>
      <c r="B34" s="335" t="inlineStr">
        <is>
          <t>正常</t>
        </is>
      </c>
      <c r="C34" s="336">
        <f>COUNTIF(Derived!$J$309:$J$332,B34)</f>
        <v/>
      </c>
      <c r="D34" s="341">
        <f>IF($B$9=0,"",C34/$B$9)</f>
        <v/>
      </c>
      <c r="E34" s="336">
        <f>$B$9-SUM($C$34:$C$36)</f>
        <v/>
      </c>
      <c r="F34" s="336">
        <f>$B$9</f>
        <v/>
      </c>
    </row>
    <row r="35">
      <c r="A35" s="335" t="inlineStr">
        <is>
          <t>Vision</t>
        </is>
      </c>
      <c r="B35" s="335" t="inlineStr">
        <is>
          <t>矫正后正常</t>
        </is>
      </c>
      <c r="C35" s="336">
        <f>COUNTIF(Derived!$J$309:$J$332,B35)</f>
        <v/>
      </c>
      <c r="D35" s="341">
        <f>IF($B$9=0,"",C35/$B$9)</f>
        <v/>
      </c>
      <c r="E35" s="336">
        <f>$B$9-SUM($C$34:$C$36)</f>
        <v/>
      </c>
      <c r="F35" s="336">
        <f>$B$9</f>
        <v/>
      </c>
    </row>
    <row r="36">
      <c r="A36" s="335" t="inlineStr">
        <is>
          <t>Vision</t>
        </is>
      </c>
      <c r="B36" s="335" t="inlineStr">
        <is>
          <t>其他</t>
        </is>
      </c>
      <c r="C36" s="336">
        <f>COUNTIF(Derived!$J$309:$J$332,B36)</f>
        <v/>
      </c>
      <c r="D36" s="341">
        <f>IF($B$9=0,"",C36/$B$9)</f>
        <v/>
      </c>
      <c r="E36" s="336">
        <f>$B$9-SUM($C$34:$C$36)</f>
        <v/>
      </c>
      <c r="F36" s="336">
        <f>$B$9</f>
        <v/>
      </c>
    </row>
    <row r="37">
      <c r="A37" s="335" t="inlineStr">
        <is>
          <t>VRMR_Experience</t>
        </is>
      </c>
      <c r="B37" s="335" t="inlineStr">
        <is>
          <t>从未</t>
        </is>
      </c>
      <c r="C37" s="336">
        <f>COUNTIF(Derived!$K$309:$K$332,B37)</f>
        <v/>
      </c>
      <c r="D37" s="341">
        <f>IF($B$9=0,"",C37/$B$9)</f>
        <v/>
      </c>
      <c r="E37" s="336">
        <f>$B$9-SUM($C$37:$C$41)</f>
        <v/>
      </c>
      <c r="F37" s="336">
        <f>$B$9</f>
        <v/>
      </c>
    </row>
    <row r="38">
      <c r="A38" s="335" t="inlineStr">
        <is>
          <t>VRMR_Experience</t>
        </is>
      </c>
      <c r="B38" s="335" t="inlineStr">
        <is>
          <t>1–5 次</t>
        </is>
      </c>
      <c r="C38" s="336">
        <f>COUNTIF(Derived!$K$309:$K$332,B38)</f>
        <v/>
      </c>
      <c r="D38" s="341">
        <f>IF($B$9=0,"",C38/$B$9)</f>
        <v/>
      </c>
      <c r="E38" s="336">
        <f>$B$9-SUM($C$37:$C$41)</f>
        <v/>
      </c>
      <c r="F38" s="336">
        <f>$B$9</f>
        <v/>
      </c>
    </row>
    <row r="39">
      <c r="A39" s="335" t="inlineStr">
        <is>
          <t>VRMR_Experience</t>
        </is>
      </c>
      <c r="B39" s="335" t="inlineStr">
        <is>
          <t>6–20 次</t>
        </is>
      </c>
      <c r="C39" s="336">
        <f>COUNTIF(Derived!$K$309:$K$332,B39)</f>
        <v/>
      </c>
      <c r="D39" s="341">
        <f>IF($B$9=0,"",C39/$B$9)</f>
        <v/>
      </c>
      <c r="E39" s="336">
        <f>$B$9-SUM($C$37:$C$41)</f>
        <v/>
      </c>
      <c r="F39" s="336">
        <f>$B$9</f>
        <v/>
      </c>
    </row>
    <row r="40">
      <c r="A40" s="335" t="inlineStr">
        <is>
          <t>VRMR_Experience</t>
        </is>
      </c>
      <c r="B40" s="335" t="inlineStr">
        <is>
          <t>超过 20 次</t>
        </is>
      </c>
      <c r="C40" s="336">
        <f>COUNTIF(Derived!$K$309:$K$332,B40)</f>
        <v/>
      </c>
      <c r="D40" s="341">
        <f>IF($B$9=0,"",C40/$B$9)</f>
        <v/>
      </c>
      <c r="E40" s="336">
        <f>$B$9-SUM($C$37:$C$41)</f>
        <v/>
      </c>
      <c r="F40" s="336">
        <f>$B$9</f>
        <v/>
      </c>
    </row>
    <row r="41">
      <c r="A41" s="335" t="inlineStr">
        <is>
          <t>VRMR_Experience</t>
        </is>
      </c>
      <c r="B41" s="335" t="inlineStr">
        <is>
          <t>经常使用</t>
        </is>
      </c>
      <c r="C41" s="336">
        <f>COUNTIF(Derived!$K$309:$K$332,B41)</f>
        <v/>
      </c>
      <c r="D41" s="341">
        <f>IF($B$9=0,"",C41/$B$9)</f>
        <v/>
      </c>
      <c r="E41" s="336">
        <f>$B$9-SUM($C$37:$C$41)</f>
        <v/>
      </c>
      <c r="F41" s="336">
        <f>$B$9</f>
        <v/>
      </c>
    </row>
    <row r="42">
      <c r="A42" s="335" t="inlineStr">
        <is>
          <t>PhysicalMR_Experience</t>
        </is>
      </c>
      <c r="B42" s="335" t="inlineStr">
        <is>
          <t>从未</t>
        </is>
      </c>
      <c r="C42" s="336">
        <f>COUNTIF(Derived!$L$309:$L$332,B42)</f>
        <v/>
      </c>
      <c r="D42" s="341">
        <f>IF($B$9=0,"",C42/$B$9)</f>
        <v/>
      </c>
      <c r="E42" s="336">
        <f>$B$9-SUM($C$42:$C$45)</f>
        <v/>
      </c>
      <c r="F42" s="336">
        <f>$B$9</f>
        <v/>
      </c>
    </row>
    <row r="43">
      <c r="A43" s="335" t="inlineStr">
        <is>
          <t>PhysicalMR_Experience</t>
        </is>
      </c>
      <c r="B43" s="335" t="inlineStr">
        <is>
          <t>1–2 次</t>
        </is>
      </c>
      <c r="C43" s="336">
        <f>COUNTIF(Derived!$L$309:$L$332,B43)</f>
        <v/>
      </c>
      <c r="D43" s="341">
        <f>IF($B$9=0,"",C43/$B$9)</f>
        <v/>
      </c>
      <c r="E43" s="336">
        <f>$B$9-SUM($C$42:$C$45)</f>
        <v/>
      </c>
      <c r="F43" s="336">
        <f>$B$9</f>
        <v/>
      </c>
    </row>
    <row r="44">
      <c r="A44" s="335" t="inlineStr">
        <is>
          <t>PhysicalMR_Experience</t>
        </is>
      </c>
      <c r="B44" s="335" t="inlineStr">
        <is>
          <t>数次</t>
        </is>
      </c>
      <c r="C44" s="336">
        <f>COUNTIF(Derived!$L$309:$L$332,B44)</f>
        <v/>
      </c>
      <c r="D44" s="341">
        <f>IF($B$9=0,"",C44/$B$9)</f>
        <v/>
      </c>
      <c r="E44" s="336">
        <f>$B$9-SUM($C$42:$C$45)</f>
        <v/>
      </c>
      <c r="F44" s="336">
        <f>$B$9</f>
        <v/>
      </c>
    </row>
    <row r="45">
      <c r="A45" s="335" t="inlineStr">
        <is>
          <t>PhysicalMR_Experience</t>
        </is>
      </c>
      <c r="B45" s="335" t="inlineStr">
        <is>
          <t>经常</t>
        </is>
      </c>
      <c r="C45" s="336">
        <f>COUNTIF(Derived!$L$309:$L$332,B45)</f>
        <v/>
      </c>
      <c r="D45" s="341">
        <f>IF($B$9=0,"",C45/$B$9)</f>
        <v/>
      </c>
      <c r="E45" s="336">
        <f>$B$9-SUM($C$42:$C$45)</f>
        <v/>
      </c>
      <c r="F45" s="336">
        <f>$B$9</f>
        <v/>
      </c>
    </row>
    <row r="46">
      <c r="A46" s="335" t="inlineStr">
        <is>
          <t>Baseline_Discomfort</t>
        </is>
      </c>
      <c r="B46" s="335" t="inlineStr">
        <is>
          <t>无</t>
        </is>
      </c>
      <c r="C46" s="336">
        <f>COUNTIF(Derived!$S$309:$S$332,B46)</f>
        <v/>
      </c>
      <c r="D46" s="341">
        <f>IF($B$7=0,"",C46/$B$7)</f>
        <v/>
      </c>
      <c r="E46" s="336">
        <f>$B$7-SUM($C$46:$C$50)</f>
        <v/>
      </c>
      <c r="F46" s="336">
        <f>$B$7</f>
        <v/>
      </c>
    </row>
    <row r="47">
      <c r="A47" s="335" t="inlineStr">
        <is>
          <t>Baseline_Discomfort</t>
        </is>
      </c>
      <c r="B47" s="335" t="inlineStr">
        <is>
          <t>轻微</t>
        </is>
      </c>
      <c r="C47" s="336">
        <f>COUNTIF(Derived!$S$309:$S$332,B47)</f>
        <v/>
      </c>
      <c r="D47" s="341">
        <f>IF($B$7=0,"",C47/$B$7)</f>
        <v/>
      </c>
      <c r="E47" s="336">
        <f>$B$7-SUM($C$46:$C$50)</f>
        <v/>
      </c>
      <c r="F47" s="336">
        <f>$B$7</f>
        <v/>
      </c>
    </row>
    <row r="48">
      <c r="A48" s="335" t="inlineStr">
        <is>
          <t>Baseline_Discomfort</t>
        </is>
      </c>
      <c r="B48" s="335" t="inlineStr">
        <is>
          <t>中等</t>
        </is>
      </c>
      <c r="C48" s="336">
        <f>COUNTIF(Derived!$S$309:$S$332,B48)</f>
        <v/>
      </c>
      <c r="D48" s="341">
        <f>IF($B$7=0,"",C48/$B$7)</f>
        <v/>
      </c>
      <c r="E48" s="336">
        <f>$B$7-SUM($C$46:$C$50)</f>
        <v/>
      </c>
      <c r="F48" s="336">
        <f>$B$7</f>
        <v/>
      </c>
    </row>
    <row r="49">
      <c r="A49" s="335" t="inlineStr">
        <is>
          <t>Baseline_Discomfort</t>
        </is>
      </c>
      <c r="B49" s="335" t="inlineStr">
        <is>
          <t>明显</t>
        </is>
      </c>
      <c r="C49" s="336">
        <f>COUNTIF(Derived!$S$309:$S$332,B49)</f>
        <v/>
      </c>
      <c r="D49" s="341">
        <f>IF($B$7=0,"",C49/$B$7)</f>
        <v/>
      </c>
      <c r="E49" s="336">
        <f>$B$7-SUM($C$46:$C$50)</f>
        <v/>
      </c>
      <c r="F49" s="336">
        <f>$B$7</f>
        <v/>
      </c>
    </row>
    <row r="50">
      <c r="A50" s="335" t="inlineStr">
        <is>
          <t>Baseline_Discomfort</t>
        </is>
      </c>
      <c r="B50" s="335" t="inlineStr">
        <is>
          <t>因不适中止</t>
        </is>
      </c>
      <c r="C50" s="336">
        <f>COUNTIF(Derived!$S$309:$S$332,B50)</f>
        <v/>
      </c>
      <c r="D50" s="341">
        <f>IF($B$7=0,"",C50/$B$7)</f>
        <v/>
      </c>
      <c r="E50" s="336">
        <f>$B$7-SUM($C$46:$C$50)</f>
        <v/>
      </c>
      <c r="F50" s="336">
        <f>$B$7</f>
        <v/>
      </c>
    </row>
    <row r="51">
      <c r="A51" s="335" t="inlineStr">
        <is>
          <t>End_Discomfort</t>
        </is>
      </c>
      <c r="B51" s="335" t="inlineStr">
        <is>
          <t>无</t>
        </is>
      </c>
      <c r="C51" s="336">
        <f>COUNTIF(Derived!$T$309:$T$332,B51)</f>
        <v/>
      </c>
      <c r="D51" s="341">
        <f>IF($B$7=0,"",C51/$B$7)</f>
        <v/>
      </c>
      <c r="E51" s="336">
        <f>$B$7-SUM($C$51:$C$55)</f>
        <v/>
      </c>
      <c r="F51" s="336">
        <f>$B$7</f>
        <v/>
      </c>
    </row>
    <row r="52">
      <c r="A52" s="335" t="inlineStr">
        <is>
          <t>End_Discomfort</t>
        </is>
      </c>
      <c r="B52" s="335" t="inlineStr">
        <is>
          <t>轻微</t>
        </is>
      </c>
      <c r="C52" s="336">
        <f>COUNTIF(Derived!$T$309:$T$332,B52)</f>
        <v/>
      </c>
      <c r="D52" s="341">
        <f>IF($B$7=0,"",C52/$B$7)</f>
        <v/>
      </c>
      <c r="E52" s="336">
        <f>$B$7-SUM($C$51:$C$55)</f>
        <v/>
      </c>
      <c r="F52" s="336">
        <f>$B$7</f>
        <v/>
      </c>
    </row>
    <row r="53">
      <c r="A53" s="335" t="inlineStr">
        <is>
          <t>End_Discomfort</t>
        </is>
      </c>
      <c r="B53" s="335" t="inlineStr">
        <is>
          <t>中等</t>
        </is>
      </c>
      <c r="C53" s="336">
        <f>COUNTIF(Derived!$T$309:$T$332,B53)</f>
        <v/>
      </c>
      <c r="D53" s="341">
        <f>IF($B$7=0,"",C53/$B$7)</f>
        <v/>
      </c>
      <c r="E53" s="336">
        <f>$B$7-SUM($C$51:$C$55)</f>
        <v/>
      </c>
      <c r="F53" s="336">
        <f>$B$7</f>
        <v/>
      </c>
    </row>
    <row r="54">
      <c r="A54" s="335" t="inlineStr">
        <is>
          <t>End_Discomfort</t>
        </is>
      </c>
      <c r="B54" s="335" t="inlineStr">
        <is>
          <t>明显</t>
        </is>
      </c>
      <c r="C54" s="336">
        <f>COUNTIF(Derived!$T$309:$T$332,B54)</f>
        <v/>
      </c>
      <c r="D54" s="341">
        <f>IF($B$7=0,"",C54/$B$7)</f>
        <v/>
      </c>
      <c r="E54" s="336">
        <f>$B$7-SUM($C$51:$C$55)</f>
        <v/>
      </c>
      <c r="F54" s="336">
        <f>$B$7</f>
        <v/>
      </c>
    </row>
    <row r="55">
      <c r="A55" s="335" t="inlineStr">
        <is>
          <t>End_Discomfort</t>
        </is>
      </c>
      <c r="B55" s="335" t="inlineStr">
        <is>
          <t>因不适中止</t>
        </is>
      </c>
      <c r="C55" s="336">
        <f>COUNTIF(Derived!$T$309:$T$332,B55)</f>
        <v/>
      </c>
      <c r="D55" s="341">
        <f>IF($B$7=0,"",C55/$B$7)</f>
        <v/>
      </c>
      <c r="E55" s="336">
        <f>$B$7-SUM($C$51:$C$55)</f>
        <v/>
      </c>
      <c r="F55" s="336">
        <f>$B$7</f>
        <v/>
      </c>
    </row>
    <row r="56">
      <c r="A56" s="335" t="inlineStr">
        <is>
          <t>Discomfort_Change</t>
        </is>
      </c>
      <c r="B56" s="335" t="inlineStr">
        <is>
          <t>Worsened</t>
        </is>
      </c>
      <c r="C56" s="336">
        <f>COUNTIF(Derived!$Y$309:$Y$332,"Worsened")</f>
        <v/>
      </c>
      <c r="D56" s="341">
        <f>IF(F56=0,"",C56/F56)</f>
        <v/>
      </c>
      <c r="E56" s="336">
        <f>$B$7-F56</f>
        <v/>
      </c>
      <c r="F56" s="336">
        <f>COUNTIF(Derived!$Y$309:$Y$332,"Worsened")+COUNTIF(Derived!$Y$309:$Y$332,"Improved")+COUNTIF(Derived!$Y$309:$Y$332,"Unchanged")</f>
        <v/>
      </c>
    </row>
    <row r="57"/>
    <row r="58" ht="23" customHeight="1">
      <c r="A58" s="333" t="inlineStr">
        <is>
          <t>B3. 顺序与标签平衡：只计算纳入样本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 ht="30" customHeight="1">
      <c r="A59" s="334" t="inlineStr">
        <is>
          <t>Factor</t>
        </is>
      </c>
      <c r="B59" s="334" t="inlineStr">
        <is>
          <t>Level</t>
        </is>
      </c>
      <c r="C59" s="334" t="inlineStr">
        <is>
          <t>N</t>
        </is>
      </c>
      <c r="D59" s="334" t="inlineStr">
        <is>
          <t>Expected_at_N24</t>
        </is>
      </c>
      <c r="E59" s="334" t="inlineStr">
        <is>
          <t>Expected_at_Actual_N</t>
        </is>
      </c>
      <c r="F59" s="334" t="inlineStr">
        <is>
          <t>Deviation_From_Actual_Balance</t>
        </is>
      </c>
      <c r="G59" s="334" t="inlineStr">
        <is>
          <t>Status</t>
        </is>
      </c>
    </row>
    <row r="60">
      <c r="A60" s="335" t="inlineStr">
        <is>
          <t>Object_Order</t>
        </is>
      </c>
      <c r="B60" s="335" t="n">
        <v>1</v>
      </c>
      <c r="C60" s="336">
        <f>COUNTIF(Derived!$U$309:$U$332,B60)</f>
        <v/>
      </c>
      <c r="D60" s="336" t="n">
        <v>4</v>
      </c>
      <c r="E60" s="336">
        <f>IF($B$9=0,"",$B$9/6)</f>
        <v/>
      </c>
      <c r="F60" s="336">
        <f>IF(E60="","",C60-E60)</f>
        <v/>
      </c>
      <c r="G60" s="336">
        <f>IF(E60="","待填",IF(ABS(F60)&lt;0.000000001,"平衡","检查"))</f>
        <v/>
      </c>
    </row>
    <row r="61">
      <c r="A61" s="335" t="inlineStr">
        <is>
          <t>Object_Order</t>
        </is>
      </c>
      <c r="B61" s="335" t="n">
        <v>2</v>
      </c>
      <c r="C61" s="336">
        <f>COUNTIF(Derived!$U$309:$U$332,B61)</f>
        <v/>
      </c>
      <c r="D61" s="336" t="n">
        <v>4</v>
      </c>
      <c r="E61" s="336">
        <f>IF($B$9=0,"",$B$9/6)</f>
        <v/>
      </c>
      <c r="F61" s="336">
        <f>IF(E61="","",C61-E61)</f>
        <v/>
      </c>
      <c r="G61" s="336">
        <f>IF(E61="","待填",IF(ABS(F61)&lt;0.000000001,"平衡","检查"))</f>
        <v/>
      </c>
    </row>
    <row r="62">
      <c r="A62" s="335" t="inlineStr">
        <is>
          <t>Object_Order</t>
        </is>
      </c>
      <c r="B62" s="335" t="n">
        <v>3</v>
      </c>
      <c r="C62" s="336">
        <f>COUNTIF(Derived!$U$309:$U$332,B62)</f>
        <v/>
      </c>
      <c r="D62" s="336" t="n">
        <v>4</v>
      </c>
      <c r="E62" s="336">
        <f>IF($B$9=0,"",$B$9/6)</f>
        <v/>
      </c>
      <c r="F62" s="336">
        <f>IF(E62="","",C62-E62)</f>
        <v/>
      </c>
      <c r="G62" s="336">
        <f>IF(E62="","待填",IF(ABS(F62)&lt;0.000000001,"平衡","检查"))</f>
        <v/>
      </c>
    </row>
    <row r="63">
      <c r="A63" s="335" t="inlineStr">
        <is>
          <t>Object_Order</t>
        </is>
      </c>
      <c r="B63" s="335" t="n">
        <v>4</v>
      </c>
      <c r="C63" s="336">
        <f>COUNTIF(Derived!$U$309:$U$332,B63)</f>
        <v/>
      </c>
      <c r="D63" s="336" t="n">
        <v>4</v>
      </c>
      <c r="E63" s="336">
        <f>IF($B$9=0,"",$B$9/6)</f>
        <v/>
      </c>
      <c r="F63" s="336">
        <f>IF(E63="","",C63-E63)</f>
        <v/>
      </c>
      <c r="G63" s="336">
        <f>IF(E63="","待填",IF(ABS(F63)&lt;0.000000001,"平衡","检查"))</f>
        <v/>
      </c>
    </row>
    <row r="64">
      <c r="A64" s="335" t="inlineStr">
        <is>
          <t>Object_Order</t>
        </is>
      </c>
      <c r="B64" s="335" t="n">
        <v>5</v>
      </c>
      <c r="C64" s="336">
        <f>COUNTIF(Derived!$U$309:$U$332,B64)</f>
        <v/>
      </c>
      <c r="D64" s="336" t="n">
        <v>4</v>
      </c>
      <c r="E64" s="336">
        <f>IF($B$9=0,"",$B$9/6)</f>
        <v/>
      </c>
      <c r="F64" s="336">
        <f>IF(E64="","",C64-E64)</f>
        <v/>
      </c>
      <c r="G64" s="336">
        <f>IF(E64="","待填",IF(ABS(F64)&lt;0.000000001,"平衡","检查"))</f>
        <v/>
      </c>
    </row>
    <row r="65">
      <c r="A65" s="335" t="inlineStr">
        <is>
          <t>Object_Order</t>
        </is>
      </c>
      <c r="B65" s="335" t="n">
        <v>6</v>
      </c>
      <c r="C65" s="336">
        <f>COUNTIF(Derived!$U$309:$U$332,B65)</f>
        <v/>
      </c>
      <c r="D65" s="336" t="n">
        <v>4</v>
      </c>
      <c r="E65" s="336">
        <f>IF($B$9=0,"",$B$9/6)</f>
        <v/>
      </c>
      <c r="F65" s="336">
        <f>IF(E65="","",C65-E65)</f>
        <v/>
      </c>
      <c r="G65" s="336">
        <f>IF(E65="","待填",IF(ABS(F65)&lt;0.000000001,"平衡","检查"))</f>
        <v/>
      </c>
    </row>
    <row r="66">
      <c r="A66" s="335" t="inlineStr">
        <is>
          <t>Method_Sequence</t>
        </is>
      </c>
      <c r="B66" s="335" t="inlineStr">
        <is>
          <t>S1</t>
        </is>
      </c>
      <c r="C66" s="336">
        <f>COUNTIF(Derived!$V$309:$V$332,B66)</f>
        <v/>
      </c>
      <c r="D66" s="336" t="n">
        <v>12</v>
      </c>
      <c r="E66" s="336">
        <f>IF($B$9=0,"",$B$9/2)</f>
        <v/>
      </c>
      <c r="F66" s="336">
        <f>IF(E66="","",C66-E66)</f>
        <v/>
      </c>
      <c r="G66" s="336">
        <f>IF(E66="","待填",IF(ABS(F66)&lt;0.000000001,"平衡","检查"))</f>
        <v/>
      </c>
    </row>
    <row r="67">
      <c r="A67" s="335" t="inlineStr">
        <is>
          <t>Method_Sequence</t>
        </is>
      </c>
      <c r="B67" s="335" t="inlineStr">
        <is>
          <t>S2</t>
        </is>
      </c>
      <c r="C67" s="336">
        <f>COUNTIF(Derived!$V$309:$V$332,B67)</f>
        <v/>
      </c>
      <c r="D67" s="336" t="n">
        <v>12</v>
      </c>
      <c r="E67" s="336">
        <f>IF($B$9=0,"",$B$9/2)</f>
        <v/>
      </c>
      <c r="F67" s="336">
        <f>IF(E67="","",C67-E67)</f>
        <v/>
      </c>
      <c r="G67" s="336">
        <f>IF(E67="","待填",IF(ABS(F67)&lt;0.000000001,"平衡","检查"))</f>
        <v/>
      </c>
    </row>
    <row r="68">
      <c r="A68" s="335" t="inlineStr">
        <is>
          <t>A_Mapping</t>
        </is>
      </c>
      <c r="B68" s="335" t="inlineStr">
        <is>
          <t>EgoAnchor</t>
        </is>
      </c>
      <c r="C68" s="336">
        <f>COUNTIF(Derived!$W$309:$W$332,B68)</f>
        <v/>
      </c>
      <c r="D68" s="336" t="n">
        <v>12</v>
      </c>
      <c r="E68" s="336">
        <f>IF($B$9=0,"",$B$9/2)</f>
        <v/>
      </c>
      <c r="F68" s="336">
        <f>IF(E68="","",C68-E68)</f>
        <v/>
      </c>
      <c r="G68" s="336">
        <f>IF(E68="","待填",IF(ABS(F68)&lt;0.000000001,"平衡","检查"))</f>
        <v/>
      </c>
    </row>
    <row r="69">
      <c r="A69" s="335" t="inlineStr">
        <is>
          <t>A_Mapping</t>
        </is>
      </c>
      <c r="B69" s="335" t="inlineStr">
        <is>
          <t>One-Euro</t>
        </is>
      </c>
      <c r="C69" s="336">
        <f>COUNTIF(Derived!$W$309:$W$332,B69)</f>
        <v/>
      </c>
      <c r="D69" s="336" t="n">
        <v>12</v>
      </c>
      <c r="E69" s="336">
        <f>IF($B$9=0,"",$B$9/2)</f>
        <v/>
      </c>
      <c r="F69" s="336">
        <f>IF(E69="","",C69-E69)</f>
        <v/>
      </c>
      <c r="G69" s="336">
        <f>IF(E69="","待填",IF(ABS(F69)&lt;0.000000001,"平衡","检查"))</f>
        <v/>
      </c>
    </row>
    <row r="70">
      <c r="A70" s="335" t="inlineStr">
        <is>
          <t>First_Method</t>
        </is>
      </c>
      <c r="B70" s="335" t="inlineStr">
        <is>
          <t>EgoAnchor</t>
        </is>
      </c>
      <c r="C70" s="336">
        <f>COUNTIF(Derived!$X$309:$X$332,B70)</f>
        <v/>
      </c>
      <c r="D70" s="336" t="n">
        <v>12</v>
      </c>
      <c r="E70" s="336">
        <f>IF($B$9=0,"",$B$9/2)</f>
        <v/>
      </c>
      <c r="F70" s="336">
        <f>IF(E70="","",C70-E70)</f>
        <v/>
      </c>
      <c r="G70" s="336">
        <f>IF(E70="","待填",IF(ABS(F70)&lt;0.000000001,"平衡","检查"))</f>
        <v/>
      </c>
    </row>
    <row r="71">
      <c r="A71" s="335" t="inlineStr">
        <is>
          <t>First_Method</t>
        </is>
      </c>
      <c r="B71" s="335" t="inlineStr">
        <is>
          <t>One-Euro</t>
        </is>
      </c>
      <c r="C71" s="336">
        <f>COUNTIF(Derived!$X$309:$X$332,B71)</f>
        <v/>
      </c>
      <c r="D71" s="336" t="n">
        <v>12</v>
      </c>
      <c r="E71" s="336">
        <f>IF($B$9=0,"",$B$9/2)</f>
        <v/>
      </c>
      <c r="F71" s="336">
        <f>IF(E71="","",C71-E71)</f>
        <v/>
      </c>
      <c r="G71" s="336">
        <f>IF(E71="","待填",IF(ABS(F71)&lt;0.000000001,"平衡","检查"))</f>
        <v/>
      </c>
    </row>
    <row r="72"/>
    <row r="73"/>
    <row r="74"/>
    <row r="75" ht="23" customHeight="1">
      <c r="A75" s="333" t="inlineStr">
        <is>
          <t>C. 主证实家族：三物体均值后的完整配对统计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 ht="30" customHeight="1">
      <c r="A76" s="334" t="inlineStr">
        <is>
          <t>Outcome</t>
        </is>
      </c>
      <c r="B76" s="334" t="inlineStr">
        <is>
          <t>简称</t>
        </is>
      </c>
      <c r="C76" s="334" t="inlineStr">
        <is>
          <t>N</t>
        </is>
      </c>
      <c r="D76" s="334" t="inlineStr">
        <is>
          <t>OE_Q1</t>
        </is>
      </c>
      <c r="E76" s="334" t="inlineStr">
        <is>
          <t>OE_Median</t>
        </is>
      </c>
      <c r="F76" s="334" t="inlineStr">
        <is>
          <t>OE_Q3</t>
        </is>
      </c>
      <c r="G76" s="334" t="inlineStr">
        <is>
          <t>EA_Q1</t>
        </is>
      </c>
      <c r="H76" s="334" t="inlineStr">
        <is>
          <t>EA_Median</t>
        </is>
      </c>
      <c r="I76" s="334" t="inlineStr">
        <is>
          <t>EA_Q3</t>
        </is>
      </c>
      <c r="J76" s="334" t="inlineStr">
        <is>
          <t>Diff_Median</t>
        </is>
      </c>
      <c r="K76" s="334" t="inlineStr">
        <is>
          <t>Diff_Mean</t>
        </is>
      </c>
      <c r="L76" s="334" t="inlineStr">
        <is>
          <t>Diff_SD</t>
        </is>
      </c>
      <c r="M76" s="334" t="inlineStr">
        <is>
          <t>dz</t>
        </is>
      </c>
      <c r="N76" s="334" t="inlineStr">
        <is>
          <t>W</t>
        </is>
      </c>
      <c r="O76" s="334" t="inlineStr">
        <is>
          <t>p_raw</t>
        </is>
      </c>
      <c r="P76" s="334" t="inlineStr">
        <is>
          <t>p_Holm</t>
        </is>
      </c>
      <c r="Q76" s="334" t="inlineStr">
        <is>
          <t>r_rb</t>
        </is>
      </c>
      <c r="R76" s="334" t="inlineStr">
        <is>
          <t>r_CI_Low</t>
        </is>
      </c>
      <c r="S76" s="334" t="inlineStr">
        <is>
          <t>r_CI_High</t>
        </is>
      </c>
      <c r="T76" s="334" t="inlineStr">
        <is>
          <t>结论</t>
        </is>
      </c>
    </row>
    <row r="77">
      <c r="A77" s="335" t="inlineStr">
        <is>
          <t>Q1</t>
        </is>
      </c>
      <c r="B77" s="335" t="inlineStr">
        <is>
          <t>Static stability</t>
        </is>
      </c>
      <c r="C77" s="336">
        <f>COUNT(Derived!$B$254:$B$277)</f>
        <v/>
      </c>
      <c r="D77" s="336">
        <f>IF(C77=0,"",QUARTILE.INC(FILTER(Derived!$C$227:$C$250,Derived!$B$254:$B$277&lt;&gt;""),1))</f>
        <v/>
      </c>
      <c r="E77" s="336">
        <f>IF(C77=0,"",MEDIAN(FILTER(Derived!$C$227:$C$250,Derived!$B$254:$B$277&lt;&gt;"")))</f>
        <v/>
      </c>
      <c r="F77" s="336">
        <f>IF(C77=0,"",QUARTILE.INC(FILTER(Derived!$C$227:$C$250,Derived!$B$254:$B$277&lt;&gt;""),3))</f>
        <v/>
      </c>
      <c r="G77" s="336">
        <f>IF(C77=0,"",QUARTILE.INC(FILTER(Derived!$C$203:$C$226,Derived!$B$254:$B$277&lt;&gt;""),1))</f>
        <v/>
      </c>
      <c r="H77" s="336">
        <f>IF(C77=0,"",MEDIAN(FILTER(Derived!$C$203:$C$226,Derived!$B$254:$B$277&lt;&gt;"")))</f>
        <v/>
      </c>
      <c r="I77" s="336">
        <f>IF(C77=0,"",QUARTILE.INC(FILTER(Derived!$C$203:$C$226,Derived!$B$254:$B$277&lt;&gt;""),3))</f>
        <v/>
      </c>
      <c r="J77" s="336">
        <f>IF(C77=0,"",MEDIAN(Derived!$B$254:$B$277))</f>
        <v/>
      </c>
      <c r="K77" s="336">
        <f>IF(C77=0,"",AVERAGE(Derived!$B$254:$B$277))</f>
        <v/>
      </c>
      <c r="L77" s="336">
        <f>IF(C77&lt;2,"",STDEV.S(Derived!$B$254:$B$277))</f>
        <v/>
      </c>
      <c r="M77" s="336">
        <f>IF(OR(C77&lt;2,L77=0),"",K77/L77)</f>
        <v/>
      </c>
      <c r="N77" s="342" t="n"/>
      <c r="O77" s="342" t="n"/>
      <c r="P77" s="342" t="n"/>
      <c r="Q77" s="342" t="n"/>
      <c r="R77" s="342" t="n"/>
      <c r="S77" s="342" t="n"/>
      <c r="T77" s="342" t="n"/>
    </row>
    <row r="78">
      <c r="A78" s="335" t="inlineStr">
        <is>
          <t>Q8</t>
        </is>
      </c>
      <c r="B78" s="335" t="inlineStr">
        <is>
          <t>Position correctness</t>
        </is>
      </c>
      <c r="C78" s="336">
        <f>COUNT(Derived!$C$254:$C$277)</f>
        <v/>
      </c>
      <c r="D78" s="336">
        <f>IF(C78=0,"",QUARTILE.INC(FILTER(Derived!$D$227:$D$250,Derived!$C$254:$C$277&lt;&gt;""),1))</f>
        <v/>
      </c>
      <c r="E78" s="336">
        <f>IF(C78=0,"",MEDIAN(FILTER(Derived!$D$227:$D$250,Derived!$C$254:$C$277&lt;&gt;"")))</f>
        <v/>
      </c>
      <c r="F78" s="336">
        <f>IF(C78=0,"",QUARTILE.INC(FILTER(Derived!$D$227:$D$250,Derived!$C$254:$C$277&lt;&gt;""),3))</f>
        <v/>
      </c>
      <c r="G78" s="336">
        <f>IF(C78=0,"",QUARTILE.INC(FILTER(Derived!$D$203:$D$226,Derived!$C$254:$C$277&lt;&gt;""),1))</f>
        <v/>
      </c>
      <c r="H78" s="336">
        <f>IF(C78=0,"",MEDIAN(FILTER(Derived!$D$203:$D$226,Derived!$C$254:$C$277&lt;&gt;"")))</f>
        <v/>
      </c>
      <c r="I78" s="336">
        <f>IF(C78=0,"",QUARTILE.INC(FILTER(Derived!$D$203:$D$226,Derived!$C$254:$C$277&lt;&gt;""),3))</f>
        <v/>
      </c>
      <c r="J78" s="336">
        <f>IF(C78=0,"",MEDIAN(Derived!$C$254:$C$277))</f>
        <v/>
      </c>
      <c r="K78" s="336">
        <f>IF(C78=0,"",AVERAGE(Derived!$C$254:$C$277))</f>
        <v/>
      </c>
      <c r="L78" s="336">
        <f>IF(C78&lt;2,"",STDEV.S(Derived!$C$254:$C$277))</f>
        <v/>
      </c>
      <c r="M78" s="336">
        <f>IF(OR(C78&lt;2,L78=0),"",K78/L78)</f>
        <v/>
      </c>
      <c r="N78" s="342" t="n"/>
      <c r="O78" s="342" t="n"/>
      <c r="P78" s="342" t="n"/>
      <c r="Q78" s="342" t="n"/>
      <c r="R78" s="342" t="n"/>
      <c r="S78" s="342" t="n"/>
      <c r="T78" s="342" t="n"/>
    </row>
    <row r="79">
      <c r="A79" s="335" t="inlineStr">
        <is>
          <t>Q2</t>
        </is>
      </c>
      <c r="B79" s="335" t="inlineStr">
        <is>
          <t>Motion attachment</t>
        </is>
      </c>
      <c r="C79" s="336">
        <f>COUNT(Derived!$D$254:$D$277)</f>
        <v/>
      </c>
      <c r="D79" s="336">
        <f>IF(C79=0,"",QUARTILE.INC(FILTER(Derived!$E$227:$E$250,Derived!$D$254:$D$277&lt;&gt;""),1))</f>
        <v/>
      </c>
      <c r="E79" s="336">
        <f>IF(C79=0,"",MEDIAN(FILTER(Derived!$E$227:$E$250,Derived!$D$254:$D$277&lt;&gt;"")))</f>
        <v/>
      </c>
      <c r="F79" s="336">
        <f>IF(C79=0,"",QUARTILE.INC(FILTER(Derived!$E$227:$E$250,Derived!$D$254:$D$277&lt;&gt;""),3))</f>
        <v/>
      </c>
      <c r="G79" s="336">
        <f>IF(C79=0,"",QUARTILE.INC(FILTER(Derived!$E$203:$E$226,Derived!$D$254:$D$277&lt;&gt;""),1))</f>
        <v/>
      </c>
      <c r="H79" s="336">
        <f>IF(C79=0,"",MEDIAN(FILTER(Derived!$E$203:$E$226,Derived!$D$254:$D$277&lt;&gt;"")))</f>
        <v/>
      </c>
      <c r="I79" s="336">
        <f>IF(C79=0,"",QUARTILE.INC(FILTER(Derived!$E$203:$E$226,Derived!$D$254:$D$277&lt;&gt;""),3))</f>
        <v/>
      </c>
      <c r="J79" s="336">
        <f>IF(C79=0,"",MEDIAN(Derived!$D$254:$D$277))</f>
        <v/>
      </c>
      <c r="K79" s="336">
        <f>IF(C79=0,"",AVERAGE(Derived!$D$254:$D$277))</f>
        <v/>
      </c>
      <c r="L79" s="336">
        <f>IF(C79&lt;2,"",STDEV.S(Derived!$D$254:$D$277))</f>
        <v/>
      </c>
      <c r="M79" s="336">
        <f>IF(OR(C79&lt;2,L79=0),"",K79/L79)</f>
        <v/>
      </c>
      <c r="N79" s="342" t="n"/>
      <c r="O79" s="342" t="n"/>
      <c r="P79" s="342" t="n"/>
      <c r="Q79" s="342" t="n"/>
      <c r="R79" s="342" t="n"/>
      <c r="S79" s="342" t="n"/>
      <c r="T79" s="342" t="n"/>
    </row>
    <row r="80">
      <c r="A80" s="335" t="inlineStr">
        <is>
          <t>Q9</t>
        </is>
      </c>
      <c r="B80" s="335" t="inlineStr">
        <is>
          <t>Orientation consistency</t>
        </is>
      </c>
      <c r="C80" s="336">
        <f>COUNT(Derived!$E$254:$E$277)</f>
        <v/>
      </c>
      <c r="D80" s="336">
        <f>IF(C80=0,"",QUARTILE.INC(FILTER(Derived!$F$227:$F$250,Derived!$E$254:$E$277&lt;&gt;""),1))</f>
        <v/>
      </c>
      <c r="E80" s="336">
        <f>IF(C80=0,"",MEDIAN(FILTER(Derived!$F$227:$F$250,Derived!$E$254:$E$277&lt;&gt;"")))</f>
        <v/>
      </c>
      <c r="F80" s="336">
        <f>IF(C80=0,"",QUARTILE.INC(FILTER(Derived!$F$227:$F$250,Derived!$E$254:$E$277&lt;&gt;""),3))</f>
        <v/>
      </c>
      <c r="G80" s="336">
        <f>IF(C80=0,"",QUARTILE.INC(FILTER(Derived!$F$203:$F$226,Derived!$E$254:$E$277&lt;&gt;""),1))</f>
        <v/>
      </c>
      <c r="H80" s="336">
        <f>IF(C80=0,"",MEDIAN(FILTER(Derived!$F$203:$F$226,Derived!$E$254:$E$277&lt;&gt;"")))</f>
        <v/>
      </c>
      <c r="I80" s="336">
        <f>IF(C80=0,"",QUARTILE.INC(FILTER(Derived!$F$203:$F$226,Derived!$E$254:$E$277&lt;&gt;""),3))</f>
        <v/>
      </c>
      <c r="J80" s="336">
        <f>IF(C80=0,"",MEDIAN(Derived!$E$254:$E$277))</f>
        <v/>
      </c>
      <c r="K80" s="336">
        <f>IF(C80=0,"",AVERAGE(Derived!$E$254:$E$277))</f>
        <v/>
      </c>
      <c r="L80" s="336">
        <f>IF(C80&lt;2,"",STDEV.S(Derived!$E$254:$E$277))</f>
        <v/>
      </c>
      <c r="M80" s="336">
        <f>IF(OR(C80&lt;2,L80=0),"",K80/L80)</f>
        <v/>
      </c>
      <c r="N80" s="342" t="n"/>
      <c r="O80" s="342" t="n"/>
      <c r="P80" s="342" t="n"/>
      <c r="Q80" s="342" t="n"/>
      <c r="R80" s="342" t="n"/>
      <c r="S80" s="342" t="n"/>
      <c r="T80" s="342" t="n"/>
    </row>
    <row r="81">
      <c r="A81" s="335" t="inlineStr">
        <is>
          <t>Q3</t>
        </is>
      </c>
      <c r="B81" s="335" t="inlineStr">
        <is>
          <t>Recovery consistency</t>
        </is>
      </c>
      <c r="C81" s="336">
        <f>COUNT(Derived!$F$254:$F$277)</f>
        <v/>
      </c>
      <c r="D81" s="336">
        <f>IF(C81=0,"",QUARTILE.INC(FILTER(Derived!$G$227:$G$250,Derived!$F$254:$F$277&lt;&gt;""),1))</f>
        <v/>
      </c>
      <c r="E81" s="336">
        <f>IF(C81=0,"",MEDIAN(FILTER(Derived!$G$227:$G$250,Derived!$F$254:$F$277&lt;&gt;"")))</f>
        <v/>
      </c>
      <c r="F81" s="336">
        <f>IF(C81=0,"",QUARTILE.INC(FILTER(Derived!$G$227:$G$250,Derived!$F$254:$F$277&lt;&gt;""),3))</f>
        <v/>
      </c>
      <c r="G81" s="336">
        <f>IF(C81=0,"",QUARTILE.INC(FILTER(Derived!$G$203:$G$226,Derived!$F$254:$F$277&lt;&gt;""),1))</f>
        <v/>
      </c>
      <c r="H81" s="336">
        <f>IF(C81=0,"",MEDIAN(FILTER(Derived!$G$203:$G$226,Derived!$F$254:$F$277&lt;&gt;"")))</f>
        <v/>
      </c>
      <c r="I81" s="336">
        <f>IF(C81=0,"",QUARTILE.INC(FILTER(Derived!$G$203:$G$226,Derived!$F$254:$F$277&lt;&gt;""),3))</f>
        <v/>
      </c>
      <c r="J81" s="336">
        <f>IF(C81=0,"",MEDIAN(Derived!$F$254:$F$277))</f>
        <v/>
      </c>
      <c r="K81" s="336">
        <f>IF(C81=0,"",AVERAGE(Derived!$F$254:$F$277))</f>
        <v/>
      </c>
      <c r="L81" s="336">
        <f>IF(C81&lt;2,"",STDEV.S(Derived!$F$254:$F$277))</f>
        <v/>
      </c>
      <c r="M81" s="336">
        <f>IF(OR(C81&lt;2,L81=0),"",K81/L81)</f>
        <v/>
      </c>
      <c r="N81" s="342" t="n"/>
      <c r="O81" s="342" t="n"/>
      <c r="P81" s="342" t="n"/>
      <c r="Q81" s="342" t="n"/>
      <c r="R81" s="342" t="n"/>
      <c r="S81" s="342" t="n"/>
      <c r="T81" s="342" t="n"/>
    </row>
    <row r="82">
      <c r="A82" s="335" t="inlineStr">
        <is>
          <t>Q6</t>
        </is>
      </c>
      <c r="B82" s="335" t="inlineStr">
        <is>
          <t>Willingness to rely</t>
        </is>
      </c>
      <c r="C82" s="336">
        <f>COUNT(Derived!$G$254:$G$277)</f>
        <v/>
      </c>
      <c r="D82" s="336">
        <f>IF(C82=0,"",QUARTILE.INC(FILTER(Derived!$H$227:$H$250,Derived!$G$254:$G$277&lt;&gt;""),1))</f>
        <v/>
      </c>
      <c r="E82" s="336">
        <f>IF(C82=0,"",MEDIAN(FILTER(Derived!$H$227:$H$250,Derived!$G$254:$G$277&lt;&gt;"")))</f>
        <v/>
      </c>
      <c r="F82" s="336">
        <f>IF(C82=0,"",QUARTILE.INC(FILTER(Derived!$H$227:$H$250,Derived!$G$254:$G$277&lt;&gt;""),3))</f>
        <v/>
      </c>
      <c r="G82" s="336">
        <f>IF(C82=0,"",QUARTILE.INC(FILTER(Derived!$H$203:$H$226,Derived!$G$254:$G$277&lt;&gt;""),1))</f>
        <v/>
      </c>
      <c r="H82" s="336">
        <f>IF(C82=0,"",MEDIAN(FILTER(Derived!$H$203:$H$226,Derived!$G$254:$G$277&lt;&gt;"")))</f>
        <v/>
      </c>
      <c r="I82" s="336">
        <f>IF(C82=0,"",QUARTILE.INC(FILTER(Derived!$H$203:$H$226,Derived!$G$254:$G$277&lt;&gt;""),3))</f>
        <v/>
      </c>
      <c r="J82" s="336">
        <f>IF(C82=0,"",MEDIAN(Derived!$G$254:$G$277))</f>
        <v/>
      </c>
      <c r="K82" s="336">
        <f>IF(C82=0,"",AVERAGE(Derived!$G$254:$G$277))</f>
        <v/>
      </c>
      <c r="L82" s="336">
        <f>IF(C82&lt;2,"",STDEV.S(Derived!$G$254:$G$277))</f>
        <v/>
      </c>
      <c r="M82" s="336">
        <f>IF(OR(C82&lt;2,L82=0),"",K82/L82)</f>
        <v/>
      </c>
      <c r="N82" s="342" t="n"/>
      <c r="O82" s="342" t="n"/>
      <c r="P82" s="342" t="n"/>
      <c r="Q82" s="342" t="n"/>
      <c r="R82" s="342" t="n"/>
      <c r="S82" s="342" t="n"/>
      <c r="T82" s="342" t="n"/>
    </row>
    <row r="83">
      <c r="A83" s="335" t="inlineStr">
        <is>
          <t>Q7</t>
        </is>
      </c>
      <c r="B83" s="335" t="inlineStr">
        <is>
          <t>Stability-response balance</t>
        </is>
      </c>
      <c r="C83" s="336">
        <f>COUNT(Derived!$H$254:$H$277)</f>
        <v/>
      </c>
      <c r="D83" s="336">
        <f>IF(C83=0,"",QUARTILE.INC(FILTER(Derived!$I$227:$I$250,Derived!$H$254:$H$277&lt;&gt;""),1))</f>
        <v/>
      </c>
      <c r="E83" s="336">
        <f>IF(C83=0,"",MEDIAN(FILTER(Derived!$I$227:$I$250,Derived!$H$254:$H$277&lt;&gt;"")))</f>
        <v/>
      </c>
      <c r="F83" s="336">
        <f>IF(C83=0,"",QUARTILE.INC(FILTER(Derived!$I$227:$I$250,Derived!$H$254:$H$277&lt;&gt;""),3))</f>
        <v/>
      </c>
      <c r="G83" s="336">
        <f>IF(C83=0,"",QUARTILE.INC(FILTER(Derived!$I$203:$I$226,Derived!$H$254:$H$277&lt;&gt;""),1))</f>
        <v/>
      </c>
      <c r="H83" s="336">
        <f>IF(C83=0,"",MEDIAN(FILTER(Derived!$I$203:$I$226,Derived!$H$254:$H$277&lt;&gt;"")))</f>
        <v/>
      </c>
      <c r="I83" s="336">
        <f>IF(C83=0,"",QUARTILE.INC(FILTER(Derived!$I$203:$I$226,Derived!$H$254:$H$277&lt;&gt;""),3))</f>
        <v/>
      </c>
      <c r="J83" s="336">
        <f>IF(C83=0,"",MEDIAN(Derived!$H$254:$H$277))</f>
        <v/>
      </c>
      <c r="K83" s="336">
        <f>IF(C83=0,"",AVERAGE(Derived!$H$254:$H$277))</f>
        <v/>
      </c>
      <c r="L83" s="336">
        <f>IF(C83&lt;2,"",STDEV.S(Derived!$H$254:$H$277))</f>
        <v/>
      </c>
      <c r="M83" s="336">
        <f>IF(OR(C83&lt;2,L83=0),"",K83/L83)</f>
        <v/>
      </c>
      <c r="N83" s="342" t="n"/>
      <c r="O83" s="342" t="n"/>
      <c r="P83" s="342" t="n"/>
      <c r="Q83" s="342" t="n"/>
      <c r="R83" s="342" t="n"/>
      <c r="S83" s="342" t="n"/>
      <c r="T83" s="342" t="n"/>
    </row>
    <row r="84"/>
    <row r="85"/>
    <row r="86" ht="23" customHeight="1">
      <c r="A86" s="333" t="inlineStr">
        <is>
          <t>D. 已发表量表家族：当前样本信度由 Python 另行报告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 ht="30" customHeight="1">
      <c r="A87" s="334" t="inlineStr">
        <is>
          <t>Outcome</t>
        </is>
      </c>
      <c r="B87" s="334" t="inlineStr">
        <is>
          <t>简称</t>
        </is>
      </c>
      <c r="C87" s="334" t="inlineStr">
        <is>
          <t>N</t>
        </is>
      </c>
      <c r="D87" s="334" t="inlineStr">
        <is>
          <t>OE_Q1</t>
        </is>
      </c>
      <c r="E87" s="334" t="inlineStr">
        <is>
          <t>OE_Median</t>
        </is>
      </c>
      <c r="F87" s="334" t="inlineStr">
        <is>
          <t>OE_Q3</t>
        </is>
      </c>
      <c r="G87" s="334" t="inlineStr">
        <is>
          <t>EA_Q1</t>
        </is>
      </c>
      <c r="H87" s="334" t="inlineStr">
        <is>
          <t>EA_Median</t>
        </is>
      </c>
      <c r="I87" s="334" t="inlineStr">
        <is>
          <t>EA_Q3</t>
        </is>
      </c>
      <c r="J87" s="334" t="inlineStr">
        <is>
          <t>Diff_Median</t>
        </is>
      </c>
      <c r="K87" s="334" t="inlineStr">
        <is>
          <t>Diff_Mean</t>
        </is>
      </c>
      <c r="L87" s="334" t="inlineStr">
        <is>
          <t>Diff_SD</t>
        </is>
      </c>
      <c r="M87" s="334" t="inlineStr">
        <is>
          <t>dz</t>
        </is>
      </c>
      <c r="N87" s="334" t="inlineStr">
        <is>
          <t>W</t>
        </is>
      </c>
      <c r="O87" s="334" t="inlineStr">
        <is>
          <t>p_raw</t>
        </is>
      </c>
      <c r="P87" s="334" t="inlineStr">
        <is>
          <t>p_Holm</t>
        </is>
      </c>
      <c r="Q87" s="334" t="inlineStr">
        <is>
          <t>r_rb</t>
        </is>
      </c>
      <c r="R87" s="334" t="inlineStr">
        <is>
          <t>r_CI_Low</t>
        </is>
      </c>
      <c r="S87" s="334" t="inlineStr">
        <is>
          <t>r_CI_High</t>
        </is>
      </c>
      <c r="T87" s="334" t="inlineStr">
        <is>
          <t>结论</t>
        </is>
      </c>
    </row>
    <row r="88">
      <c r="A88" s="335" t="inlineStr">
        <is>
          <t>AQ_EQ</t>
        </is>
      </c>
      <c r="B88" s="335" t="inlineStr">
        <is>
          <t>AQ Embedding Quality</t>
        </is>
      </c>
      <c r="C88" s="336">
        <f>COUNT(Derived!$I$254:$I$277)</f>
        <v/>
      </c>
      <c r="D88" s="336">
        <f>IF(C88=0,"",QUARTILE.INC(FILTER(Derived!$J$227:$J$250,Derived!$I$254:$I$277&lt;&gt;""),1))</f>
        <v/>
      </c>
      <c r="E88" s="336">
        <f>IF(C88=0,"",MEDIAN(FILTER(Derived!$J$227:$J$250,Derived!$I$254:$I$277&lt;&gt;"")))</f>
        <v/>
      </c>
      <c r="F88" s="336">
        <f>IF(C88=0,"",QUARTILE.INC(FILTER(Derived!$J$227:$J$250,Derived!$I$254:$I$277&lt;&gt;""),3))</f>
        <v/>
      </c>
      <c r="G88" s="336">
        <f>IF(C88=0,"",QUARTILE.INC(FILTER(Derived!$J$203:$J$226,Derived!$I$254:$I$277&lt;&gt;""),1))</f>
        <v/>
      </c>
      <c r="H88" s="336">
        <f>IF(C88=0,"",MEDIAN(FILTER(Derived!$J$203:$J$226,Derived!$I$254:$I$277&lt;&gt;"")))</f>
        <v/>
      </c>
      <c r="I88" s="336">
        <f>IF(C88=0,"",QUARTILE.INC(FILTER(Derived!$J$203:$J$226,Derived!$I$254:$I$277&lt;&gt;""),3))</f>
        <v/>
      </c>
      <c r="J88" s="336">
        <f>IF(C88=0,"",MEDIAN(Derived!$I$254:$I$277))</f>
        <v/>
      </c>
      <c r="K88" s="336">
        <f>IF(C88=0,"",AVERAGE(Derived!$I$254:$I$277))</f>
        <v/>
      </c>
      <c r="L88" s="336">
        <f>IF(C88&lt;2,"",STDEV.S(Derived!$I$254:$I$277))</f>
        <v/>
      </c>
      <c r="M88" s="336">
        <f>IF(OR(C88&lt;2,L88=0),"",K88/L88)</f>
        <v/>
      </c>
      <c r="N88" s="342" t="n"/>
      <c r="O88" s="342" t="n"/>
      <c r="P88" s="342" t="n"/>
      <c r="Q88" s="342" t="n"/>
      <c r="R88" s="342" t="n"/>
      <c r="S88" s="342" t="n"/>
      <c r="T88" s="342" t="n"/>
    </row>
    <row r="89">
      <c r="A89" s="335" t="inlineStr">
        <is>
          <t>AQ_IQ</t>
        </is>
      </c>
      <c r="B89" s="335" t="inlineStr">
        <is>
          <t>AQ Interaction Quality</t>
        </is>
      </c>
      <c r="C89" s="336">
        <f>COUNT(Derived!$J$254:$J$277)</f>
        <v/>
      </c>
      <c r="D89" s="336">
        <f>IF(C89=0,"",QUARTILE.INC(FILTER(Derived!$K$227:$K$250,Derived!$J$254:$J$277&lt;&gt;""),1))</f>
        <v/>
      </c>
      <c r="E89" s="336">
        <f>IF(C89=0,"",MEDIAN(FILTER(Derived!$K$227:$K$250,Derived!$J$254:$J$277&lt;&gt;"")))</f>
        <v/>
      </c>
      <c r="F89" s="336">
        <f>IF(C89=0,"",QUARTILE.INC(FILTER(Derived!$K$227:$K$250,Derived!$J$254:$J$277&lt;&gt;""),3))</f>
        <v/>
      </c>
      <c r="G89" s="336">
        <f>IF(C89=0,"",QUARTILE.INC(FILTER(Derived!$K$203:$K$226,Derived!$J$254:$J$277&lt;&gt;""),1))</f>
        <v/>
      </c>
      <c r="H89" s="336">
        <f>IF(C89=0,"",MEDIAN(FILTER(Derived!$K$203:$K$226,Derived!$J$254:$J$277&lt;&gt;"")))</f>
        <v/>
      </c>
      <c r="I89" s="336">
        <f>IF(C89=0,"",QUARTILE.INC(FILTER(Derived!$K$203:$K$226,Derived!$J$254:$J$277&lt;&gt;""),3))</f>
        <v/>
      </c>
      <c r="J89" s="336">
        <f>IF(C89=0,"",MEDIAN(Derived!$J$254:$J$277))</f>
        <v/>
      </c>
      <c r="K89" s="336">
        <f>IF(C89=0,"",AVERAGE(Derived!$J$254:$J$277))</f>
        <v/>
      </c>
      <c r="L89" s="336">
        <f>IF(C89&lt;2,"",STDEV.S(Derived!$J$254:$J$277))</f>
        <v/>
      </c>
      <c r="M89" s="336">
        <f>IF(OR(C89&lt;2,L89=0),"",K89/L89)</f>
        <v/>
      </c>
      <c r="N89" s="342" t="n"/>
      <c r="O89" s="342" t="n"/>
      <c r="P89" s="342" t="n"/>
      <c r="Q89" s="342" t="n"/>
      <c r="R89" s="342" t="n"/>
      <c r="S89" s="342" t="n"/>
      <c r="T89" s="342" t="n"/>
    </row>
    <row r="90">
      <c r="A90" s="335" t="inlineStr">
        <is>
          <t>TIA_RC</t>
        </is>
      </c>
      <c r="B90" s="335" t="inlineStr">
        <is>
          <t>TiA Reliability/Competence</t>
        </is>
      </c>
      <c r="C90" s="336">
        <f>COUNT(Derived!$K$254:$K$277)</f>
        <v/>
      </c>
      <c r="D90" s="336">
        <f>IF(C90=0,"",QUARTILE.INC(FILTER(Derived!$L$227:$L$250,Derived!$K$254:$K$277&lt;&gt;""),1))</f>
        <v/>
      </c>
      <c r="E90" s="336">
        <f>IF(C90=0,"",MEDIAN(FILTER(Derived!$L$227:$L$250,Derived!$K$254:$K$277&lt;&gt;"")))</f>
        <v/>
      </c>
      <c r="F90" s="336">
        <f>IF(C90=0,"",QUARTILE.INC(FILTER(Derived!$L$227:$L$250,Derived!$K$254:$K$277&lt;&gt;""),3))</f>
        <v/>
      </c>
      <c r="G90" s="336">
        <f>IF(C90=0,"",QUARTILE.INC(FILTER(Derived!$L$203:$L$226,Derived!$K$254:$K$277&lt;&gt;""),1))</f>
        <v/>
      </c>
      <c r="H90" s="336">
        <f>IF(C90=0,"",MEDIAN(FILTER(Derived!$L$203:$L$226,Derived!$K$254:$K$277&lt;&gt;"")))</f>
        <v/>
      </c>
      <c r="I90" s="336">
        <f>IF(C90=0,"",QUARTILE.INC(FILTER(Derived!$L$203:$L$226,Derived!$K$254:$K$277&lt;&gt;""),3))</f>
        <v/>
      </c>
      <c r="J90" s="336">
        <f>IF(C90=0,"",MEDIAN(Derived!$K$254:$K$277))</f>
        <v/>
      </c>
      <c r="K90" s="336">
        <f>IF(C90=0,"",AVERAGE(Derived!$K$254:$K$277))</f>
        <v/>
      </c>
      <c r="L90" s="336">
        <f>IF(C90&lt;2,"",STDEV.S(Derived!$K$254:$K$277))</f>
        <v/>
      </c>
      <c r="M90" s="336">
        <f>IF(OR(C90&lt;2,L90=0),"",K90/L90)</f>
        <v/>
      </c>
      <c r="N90" s="342" t="n"/>
      <c r="O90" s="342" t="n"/>
      <c r="P90" s="342" t="n"/>
      <c r="Q90" s="342" t="n"/>
      <c r="R90" s="342" t="n"/>
      <c r="S90" s="342" t="n"/>
      <c r="T90" s="342" t="n"/>
    </row>
    <row r="91">
      <c r="A91" s="335" t="inlineStr">
        <is>
          <t>TIA_UP</t>
        </is>
      </c>
      <c r="B91" s="335" t="inlineStr">
        <is>
          <t>TiA Understanding/Predictability</t>
        </is>
      </c>
      <c r="C91" s="336">
        <f>COUNT(Derived!$L$254:$L$277)</f>
        <v/>
      </c>
      <c r="D91" s="336">
        <f>IF(C91=0,"",QUARTILE.INC(FILTER(Derived!$M$227:$M$250,Derived!$L$254:$L$277&lt;&gt;""),1))</f>
        <v/>
      </c>
      <c r="E91" s="336">
        <f>IF(C91=0,"",MEDIAN(FILTER(Derived!$M$227:$M$250,Derived!$L$254:$L$277&lt;&gt;"")))</f>
        <v/>
      </c>
      <c r="F91" s="336">
        <f>IF(C91=0,"",QUARTILE.INC(FILTER(Derived!$M$227:$M$250,Derived!$L$254:$L$277&lt;&gt;""),3))</f>
        <v/>
      </c>
      <c r="G91" s="336">
        <f>IF(C91=0,"",QUARTILE.INC(FILTER(Derived!$M$203:$M$226,Derived!$L$254:$L$277&lt;&gt;""),1))</f>
        <v/>
      </c>
      <c r="H91" s="336">
        <f>IF(C91=0,"",MEDIAN(FILTER(Derived!$M$203:$M$226,Derived!$L$254:$L$277&lt;&gt;"")))</f>
        <v/>
      </c>
      <c r="I91" s="336">
        <f>IF(C91=0,"",QUARTILE.INC(FILTER(Derived!$M$203:$M$226,Derived!$L$254:$L$277&lt;&gt;""),3))</f>
        <v/>
      </c>
      <c r="J91" s="336">
        <f>IF(C91=0,"",MEDIAN(Derived!$L$254:$L$277))</f>
        <v/>
      </c>
      <c r="K91" s="336">
        <f>IF(C91=0,"",AVERAGE(Derived!$L$254:$L$277))</f>
        <v/>
      </c>
      <c r="L91" s="336">
        <f>IF(C91&lt;2,"",STDEV.S(Derived!$L$254:$L$277))</f>
        <v/>
      </c>
      <c r="M91" s="336">
        <f>IF(OR(C91&lt;2,L91=0),"",K91/L91)</f>
        <v/>
      </c>
      <c r="N91" s="342" t="n"/>
      <c r="O91" s="342" t="n"/>
      <c r="P91" s="342" t="n"/>
      <c r="Q91" s="342" t="n"/>
      <c r="R91" s="342" t="n"/>
      <c r="S91" s="342" t="n"/>
      <c r="T91" s="342" t="n"/>
    </row>
    <row r="92">
      <c r="A92" s="335" t="inlineStr">
        <is>
          <t>STIAS</t>
        </is>
      </c>
      <c r="B92" s="335" t="inlineStr">
        <is>
          <t>S-TIAS</t>
        </is>
      </c>
      <c r="C92" s="336">
        <f>COUNT(Derived!$M$254:$M$277)</f>
        <v/>
      </c>
      <c r="D92" s="336">
        <f>IF(C92=0,"",QUARTILE.INC(FILTER(Derived!$N$227:$N$250,Derived!$M$254:$M$277&lt;&gt;""),1))</f>
        <v/>
      </c>
      <c r="E92" s="336">
        <f>IF(C92=0,"",MEDIAN(FILTER(Derived!$N$227:$N$250,Derived!$M$254:$M$277&lt;&gt;"")))</f>
        <v/>
      </c>
      <c r="F92" s="336">
        <f>IF(C92=0,"",QUARTILE.INC(FILTER(Derived!$N$227:$N$250,Derived!$M$254:$M$277&lt;&gt;""),3))</f>
        <v/>
      </c>
      <c r="G92" s="336">
        <f>IF(C92=0,"",QUARTILE.INC(FILTER(Derived!$N$203:$N$226,Derived!$M$254:$M$277&lt;&gt;""),1))</f>
        <v/>
      </c>
      <c r="H92" s="336">
        <f>IF(C92=0,"",MEDIAN(FILTER(Derived!$N$203:$N$226,Derived!$M$254:$M$277&lt;&gt;"")))</f>
        <v/>
      </c>
      <c r="I92" s="336">
        <f>IF(C92=0,"",QUARTILE.INC(FILTER(Derived!$N$203:$N$226,Derived!$M$254:$M$277&lt;&gt;""),3))</f>
        <v/>
      </c>
      <c r="J92" s="336">
        <f>IF(C92=0,"",MEDIAN(Derived!$M$254:$M$277))</f>
        <v/>
      </c>
      <c r="K92" s="336">
        <f>IF(C92=0,"",AVERAGE(Derived!$M$254:$M$277))</f>
        <v/>
      </c>
      <c r="L92" s="336">
        <f>IF(C92&lt;2,"",STDEV.S(Derived!$M$254:$M$277))</f>
        <v/>
      </c>
      <c r="M92" s="336">
        <f>IF(OR(C92&lt;2,L92=0),"",K92/L92)</f>
        <v/>
      </c>
      <c r="N92" s="342" t="n"/>
      <c r="O92" s="342" t="n"/>
      <c r="P92" s="342" t="n"/>
      <c r="Q92" s="342" t="n"/>
      <c r="R92" s="342" t="n"/>
      <c r="S92" s="342" t="n"/>
      <c r="T92" s="342" t="n"/>
    </row>
    <row r="93"/>
    <row r="94"/>
    <row r="95" ht="23" customHeight="1">
      <c r="A95" s="333" t="inlineStr">
        <is>
          <t>E. 操纵与运行时描述：每位参与者先在三个物体上取均值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 ht="30" customHeight="1">
      <c r="A96" s="334" t="inlineStr">
        <is>
          <t>Metric</t>
        </is>
      </c>
      <c r="B96" s="334" t="inlineStr">
        <is>
          <t>N</t>
        </is>
      </c>
      <c r="C96" s="334" t="inlineStr">
        <is>
          <t>One-Euro Mean</t>
        </is>
      </c>
      <c r="D96" s="334" t="inlineStr">
        <is>
          <t>EgoAnchor Mean</t>
        </is>
      </c>
      <c r="E96" s="334" t="inlineStr">
        <is>
          <t>Difference Mean</t>
        </is>
      </c>
      <c r="F96" s="334" t="inlineStr">
        <is>
          <t>TOST Margin</t>
        </is>
      </c>
      <c r="G96" s="334" t="inlineStr">
        <is>
          <t>p_TOST</t>
        </is>
      </c>
      <c r="H96" s="334" t="inlineStr">
        <is>
          <t>Status</t>
        </is>
      </c>
    </row>
    <row r="97">
      <c r="A97" s="335" t="inlineStr">
        <is>
          <t>Candidate_Rate_Hz</t>
        </is>
      </c>
      <c r="B97" s="335">
        <f>SUMPRODUCT(--(Derived!P203:P226&lt;&gt;""),--(Derived!P227:P250&lt;&gt;""))</f>
        <v/>
      </c>
      <c r="C97" s="336">
        <f>IF(B97=0,"",AVERAGE(FILTER(Derived!P227:P250,(Derived!P203:P226&lt;&gt;"")*(Derived!P227:P250&lt;&gt;""))))</f>
        <v/>
      </c>
      <c r="D97" s="336">
        <f>IF(B97=0,"",AVERAGE(FILTER(Derived!P203:P226,(Derived!P203:P226&lt;&gt;"")*(Derived!P227:P250&lt;&gt;""))))</f>
        <v/>
      </c>
      <c r="E97" s="336">
        <f>IF(B97=0,"",D97-C97)</f>
        <v/>
      </c>
      <c r="F97" s="342" t="n"/>
      <c r="G97" s="342" t="n"/>
      <c r="H97" s="342" t="n"/>
    </row>
    <row r="98">
      <c r="A98" s="335" t="inlineStr">
        <is>
          <t>VCD_Median</t>
        </is>
      </c>
      <c r="B98" s="335">
        <f>SUMPRODUCT(--(Derived!Q203:Q226&lt;&gt;""),--(Derived!Q227:Q250&lt;&gt;""))</f>
        <v/>
      </c>
      <c r="C98" s="336">
        <f>IF(B98=0,"",AVERAGE(FILTER(Derived!Q227:Q250,(Derived!Q203:Q226&lt;&gt;"")*(Derived!Q227:Q250&lt;&gt;""))))</f>
        <v/>
      </c>
      <c r="D98" s="336">
        <f>IF(B98=0,"",AVERAGE(FILTER(Derived!Q203:Q226,(Derived!Q203:Q226&lt;&gt;"")*(Derived!Q227:Q250&lt;&gt;""))))</f>
        <v/>
      </c>
      <c r="E98" s="336">
        <f>IF(B98=0,"",D98-C98)</f>
        <v/>
      </c>
      <c r="F98" s="342" t="n"/>
      <c r="G98" s="342" t="n"/>
      <c r="H98" s="342" t="n"/>
    </row>
    <row r="99">
      <c r="A99" s="335" t="inlineStr">
        <is>
          <t>VCD_Admission_Rate</t>
        </is>
      </c>
      <c r="B99" s="335">
        <f>SUMPRODUCT(--(Derived!R203:R226&lt;&gt;""),--(Derived!R227:R250&lt;&gt;""))</f>
        <v/>
      </c>
      <c r="C99" s="336">
        <f>IF(B99=0,"",AVERAGE(FILTER(Derived!R227:R250,(Derived!R203:R226&lt;&gt;"")*(Derived!R227:R250&lt;&gt;""))))</f>
        <v/>
      </c>
      <c r="D99" s="336">
        <f>IF(B99=0,"",AVERAGE(FILTER(Derived!R203:R226,(Derived!R203:R226&lt;&gt;"")*(Derived!R227:R250&lt;&gt;""))))</f>
        <v/>
      </c>
      <c r="E99" s="336">
        <f>IF(B99=0,"",D99-C99)</f>
        <v/>
      </c>
      <c r="F99" s="342" t="n"/>
      <c r="G99" s="342" t="n"/>
      <c r="H99" s="342" t="n"/>
    </row>
    <row r="100">
      <c r="A100" s="335" t="inlineStr">
        <is>
          <t>Output_Availability</t>
        </is>
      </c>
      <c r="B100" s="335">
        <f>SUMPRODUCT(--(Derived!S203:S226&lt;&gt;""),--(Derived!S227:S250&lt;&gt;""))</f>
        <v/>
      </c>
      <c r="C100" s="336">
        <f>IF(B100=0,"",AVERAGE(FILTER(Derived!S227:S250,(Derived!S203:S226&lt;&gt;"")*(Derived!S227:S250&lt;&gt;""))))</f>
        <v/>
      </c>
      <c r="D100" s="336">
        <f>IF(B100=0,"",AVERAGE(FILTER(Derived!S203:S226,(Derived!S203:S226&lt;&gt;"")*(Derived!S227:S250&lt;&gt;""))))</f>
        <v/>
      </c>
      <c r="E100" s="336">
        <f>IF(B100=0,"",D100-C100)</f>
        <v/>
      </c>
      <c r="F100" s="342" t="n"/>
      <c r="G100" s="342" t="n"/>
      <c r="H100" s="342" t="n"/>
    </row>
    <row r="101">
      <c r="A101" s="335" t="inlineStr">
        <is>
          <t>Occlusion_Seconds</t>
        </is>
      </c>
      <c r="B101" s="335">
        <f>SUMPRODUCT(--(Derived!T203:T226&lt;&gt;""),--(Derived!T227:T250&lt;&gt;""))</f>
        <v/>
      </c>
      <c r="C101" s="336">
        <f>IF(B101=0,"",AVERAGE(FILTER(Derived!T227:T250,(Derived!T203:T226&lt;&gt;"")*(Derived!T227:T250&lt;&gt;""))))</f>
        <v/>
      </c>
      <c r="D101" s="336">
        <f>IF(B101=0,"",AVERAGE(FILTER(Derived!T203:T226,(Derived!T203:T226&lt;&gt;"")*(Derived!T227:T250&lt;&gt;""))))</f>
        <v/>
      </c>
      <c r="E101" s="336">
        <f>IF(B101=0,"",D101-C101)</f>
        <v/>
      </c>
      <c r="F101" s="342" t="n"/>
      <c r="G101" s="342" t="n"/>
      <c r="H101" s="342" t="n"/>
    </row>
    <row r="102"/>
    <row r="103"/>
    <row r="104" ht="23" customHeight="1">
      <c r="A104" s="333" t="inlineStr">
        <is>
          <t>F. 最终描述测量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 ht="30" customHeight="1">
      <c r="A105" s="334" t="inlineStr">
        <is>
          <t>Measure</t>
        </is>
      </c>
      <c r="B105" s="334" t="inlineStr">
        <is>
          <t>Count</t>
        </is>
      </c>
      <c r="C105" s="334" t="inlineStr">
        <is>
          <t>Median</t>
        </is>
      </c>
      <c r="D105" s="334" t="inlineStr">
        <is>
          <t>Q1</t>
        </is>
      </c>
      <c r="E105" s="334" t="inlineStr">
        <is>
          <t>Q3</t>
        </is>
      </c>
      <c r="F105" s="334" t="inlineStr">
        <is>
          <t>Mean</t>
        </is>
      </c>
      <c r="G105" s="334" t="inlineStr">
        <is>
          <t>SD</t>
        </is>
      </c>
    </row>
    <row r="106">
      <c r="A106" s="335" t="inlineStr">
        <is>
          <t>Preference_Strength</t>
        </is>
      </c>
      <c r="B106" s="335">
        <f>COUNT(Derived!C281:C304)</f>
        <v/>
      </c>
      <c r="C106" s="336">
        <f>IF(B106=0,"",MEDIAN(Derived!C281:C304))</f>
        <v/>
      </c>
      <c r="D106" s="336">
        <f>IF(B106=0,"",QUARTILE.INC(Derived!C281:C304,1))</f>
        <v/>
      </c>
      <c r="E106" s="336">
        <f>IF(B106=0,"",QUARTILE.INC(Derived!C281:C304,3))</f>
        <v/>
      </c>
      <c r="F106" s="336">
        <f>IF(B106=0,"",AVERAGE(Derived!C281:C304))</f>
        <v/>
      </c>
      <c r="G106" s="336">
        <f>IF(B106&lt;2,"",STDEV.S(Derived!C281:C304))</f>
        <v/>
      </c>
    </row>
    <row r="107">
      <c r="A107" s="335" t="inlineStr">
        <is>
          <t>Discrimination_Confidence</t>
        </is>
      </c>
      <c r="B107" s="335">
        <f>COUNT(Derived!D281:D304)</f>
        <v/>
      </c>
      <c r="C107" s="336">
        <f>IF(B107=0,"",MEDIAN(Derived!D281:D304))</f>
        <v/>
      </c>
      <c r="D107" s="336">
        <f>IF(B107=0,"",QUARTILE.INC(Derived!D281:D304,1))</f>
        <v/>
      </c>
      <c r="E107" s="336">
        <f>IF(B107=0,"",QUARTILE.INC(Derived!D281:D304,3))</f>
        <v/>
      </c>
      <c r="F107" s="336">
        <f>IF(B107=0,"",AVERAGE(Derived!D281:D304))</f>
        <v/>
      </c>
      <c r="G107" s="336">
        <f>IF(B107&lt;2,"",STDEV.S(Derived!D281:D304))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76:T82"/>
  <mergeCells count="10">
    <mergeCell ref="A1:T1"/>
    <mergeCell ref="A75:T75"/>
    <mergeCell ref="A58:T58"/>
    <mergeCell ref="A4:T4"/>
    <mergeCell ref="A86:T86"/>
    <mergeCell ref="A25:T25"/>
    <mergeCell ref="A95:T95"/>
    <mergeCell ref="A2:T2"/>
    <mergeCell ref="A104:T104"/>
    <mergeCell ref="A19:T19"/>
  </mergeCells>
  <conditionalFormatting sqref="D6:D17">
    <cfRule type="expression" priority="1" dxfId="4">
      <formula>OR(D6="未达下限",D6="检查缺失或审核",D6="检查缺失",D6="检查",D6="原因缺失",D6="待处理")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EgoAnchor Experiment 3 Data Collection v5.1 Beautified</dc:title>
  <dc:description>Checked counterbalancing, corrected labels, professional formatting, basic validation, VS Code-safe OOXML.</dc:description>
  <dc:subject>Compact six-sheet experimental data collection and analysis workbook</dc:subject>
  <dc:identifier>EgoAnchor.Experiment3.RawData.v5.1</dc:identifier>
  <dcterms:created xsi:type="dcterms:W3CDTF">2026-07-26T14:44:44Z</dcterms:created>
  <dcterms:modified xsi:type="dcterms:W3CDTF">2026-07-28T14:16:21Z</dcterms:modified>
  <cp:lastModifiedBy>OpenAI</cp:lastModifiedBy>
  <cp:category>formal-participant-data</cp:category>
  <cp:version>v5.1</cp:version>
</cp:coreProperties>
</file>